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awatehadiyahindia-my.sharepoint.com/personal/mohammed_nalwala_dehindia_org/Documents/desktop/personal/leave/2026/"/>
    </mc:Choice>
  </mc:AlternateContent>
  <xr:revisionPtr revIDLastSave="18" documentId="8_{21312B4A-7234-4AA8-BD9A-D78A7BC6CDEB}" xr6:coauthVersionLast="36" xr6:coauthVersionMax="36" xr10:uidLastSave="{A0C4E6EE-060C-4A2B-B9C6-1BDA48B7997E}"/>
  <workbookProtection workbookAlgorithmName="SHA-512" workbookHashValue="DoZa8/JCrDCFoGw+q2h4Bz4d3/8iUazAwhQ6rhl25i/QdAG63M9haIdgkW/Ms+cNnJ/5oUhYsVro0gh8UM4KkA==" workbookSaltValue="wjbFZCJtYXmrg0Bm2z2GVw==" workbookSpinCount="100000" lockStructure="1"/>
  <bookViews>
    <workbookView xWindow="0" yWindow="0" windowWidth="24000" windowHeight="10635" xr2:uid="{9B359056-343E-4759-91A5-021BDCEEA121}"/>
  </bookViews>
  <sheets>
    <sheet name="New Format" sheetId="3" r:id="rId1"/>
    <sheet name="Sheet1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3" l="1"/>
  <c r="H24" i="3"/>
  <c r="A24" i="3"/>
  <c r="F30" i="3" l="1"/>
  <c r="F20" i="3"/>
  <c r="C5" i="3" l="1"/>
  <c r="G5" i="3"/>
  <c r="G6" i="3"/>
  <c r="G7" i="3"/>
  <c r="C7" i="3"/>
  <c r="C6" i="3"/>
  <c r="G4" i="3"/>
</calcChain>
</file>

<file path=xl/sharedStrings.xml><?xml version="1.0" encoding="utf-8"?>
<sst xmlns="http://schemas.openxmlformats.org/spreadsheetml/2006/main" count="922" uniqueCount="452">
  <si>
    <t>Leave Request Form</t>
  </si>
  <si>
    <t xml:space="preserve">To be completed by Staff when requesting for a leave. The Staff must attach all relevant documentation to support their request. </t>
  </si>
  <si>
    <t>Name:</t>
  </si>
  <si>
    <t>Department:</t>
  </si>
  <si>
    <t>Type of Leave</t>
  </si>
  <si>
    <t>Resume Work On</t>
  </si>
  <si>
    <t>Total Days</t>
  </si>
  <si>
    <t>Balance Annual leave days:</t>
  </si>
  <si>
    <t>Reporting Manager</t>
  </si>
  <si>
    <t>Management Approval</t>
  </si>
  <si>
    <t>From</t>
  </si>
  <si>
    <t>To</t>
  </si>
  <si>
    <t>Relevant Document Attached</t>
  </si>
  <si>
    <t>Reason for leave application:</t>
  </si>
  <si>
    <t>Reason:</t>
  </si>
  <si>
    <t>Last Leave Taken:</t>
  </si>
  <si>
    <t>Employee Code ITS</t>
  </si>
  <si>
    <t>Full name</t>
  </si>
  <si>
    <t>Work email</t>
  </si>
  <si>
    <t>Mobile number</t>
  </si>
  <si>
    <t>Date of joining</t>
  </si>
  <si>
    <t>Department</t>
  </si>
  <si>
    <t>Sub department</t>
  </si>
  <si>
    <t>Designation</t>
  </si>
  <si>
    <t>Reporting manager</t>
  </si>
  <si>
    <t>Shaikh Taher Mulla Akberali Panvelwala</t>
  </si>
  <si>
    <t>taher.panvelwala@hqhb.in</t>
  </si>
  <si>
    <t>Management Office</t>
  </si>
  <si>
    <t>Executive Assistance</t>
  </si>
  <si>
    <t>Executive Assistant</t>
  </si>
  <si>
    <t>Bs Saeedulkhair Bs Syedi Yusuf Bs Najmuddin</t>
  </si>
  <si>
    <t>Shaikh Murtaza Shaikh Shiraj Jasdanwala</t>
  </si>
  <si>
    <t>murtaza.jasdanwala@hqhb.in</t>
  </si>
  <si>
    <t>Business Development</t>
  </si>
  <si>
    <t>Strategic Head</t>
  </si>
  <si>
    <t>Bs Huzaifa bsb Mukkaram bsb Hakimuddin</t>
  </si>
  <si>
    <t>Shaikh Mustafa Shaikh Shabbir Kukshiwala</t>
  </si>
  <si>
    <t>mustafa.kukshiwala@hqhb.in</t>
  </si>
  <si>
    <t>Communications &amp; Legal</t>
  </si>
  <si>
    <t>Abbas Asgi Dehnuwala</t>
  </si>
  <si>
    <t>abbas.dehnuwala@hqhb.in</t>
  </si>
  <si>
    <t>Trade Desk</t>
  </si>
  <si>
    <t>Consultant Manager Trade Desk</t>
  </si>
  <si>
    <t>Ammar Zariwala</t>
  </si>
  <si>
    <t>ammar.ismail@hqhb.in</t>
  </si>
  <si>
    <t>Consultant Head Business Development</t>
  </si>
  <si>
    <t>Saifuddin Khozema Varawala</t>
  </si>
  <si>
    <t>saifuddin.varawala@hqhb.in</t>
  </si>
  <si>
    <t>Operations</t>
  </si>
  <si>
    <t>Case Management</t>
  </si>
  <si>
    <t>Document Controller</t>
  </si>
  <si>
    <t>Bs Aliasger bsb Aziz bsb Vaziri</t>
  </si>
  <si>
    <t>Zainab Zoher Bootwala</t>
  </si>
  <si>
    <t>zainab.bootwala@hqhb.in</t>
  </si>
  <si>
    <t>HR &amp; Facilities</t>
  </si>
  <si>
    <t>Performance Management</t>
  </si>
  <si>
    <t>Performance Excellence Manager</t>
  </si>
  <si>
    <t>Fatema Shabbir Bagasrawala</t>
  </si>
  <si>
    <t>Husein Zuzer Kapadia</t>
  </si>
  <si>
    <t>husein.kapadia@hqhb.in</t>
  </si>
  <si>
    <t>Coordination</t>
  </si>
  <si>
    <t>Regional Development Manager</t>
  </si>
  <si>
    <t>Taher Saifuddin Indorewala</t>
  </si>
  <si>
    <t>taher.indorewala@hqhb.in</t>
  </si>
  <si>
    <t>Zone Manager</t>
  </si>
  <si>
    <t>Hussain Ahmedali Kalavadwala</t>
  </si>
  <si>
    <t>Yusuf Shabbir Sapatwala</t>
  </si>
  <si>
    <t>yusuf.sapatwala@hqhb.in</t>
  </si>
  <si>
    <t>Compliance</t>
  </si>
  <si>
    <t>Quality &amp; Process</t>
  </si>
  <si>
    <t>Compliance Manager</t>
  </si>
  <si>
    <t>Huzaifa Zoeb Rajkotwala</t>
  </si>
  <si>
    <t>huzefa.rajkotwala@hqhb.in</t>
  </si>
  <si>
    <t>Product Development</t>
  </si>
  <si>
    <t>Counselling &amp; Revenue</t>
  </si>
  <si>
    <t>Revenue Manager</t>
  </si>
  <si>
    <t>Mohammed Sabuwala</t>
  </si>
  <si>
    <t>Mulla Mohammed Shaikh Khuzaima Dohadwala</t>
  </si>
  <si>
    <t>mohammed.dohadwala@hqhb.in</t>
  </si>
  <si>
    <t>Khidmat Guzaar</t>
  </si>
  <si>
    <t>Khadija Huzaifa Tamboowala</t>
  </si>
  <si>
    <t>khadija.tamboowala@hqhb.in</t>
  </si>
  <si>
    <t>Finance &amp; Accounts</t>
  </si>
  <si>
    <t>Finance.</t>
  </si>
  <si>
    <t>Team Head Treasury</t>
  </si>
  <si>
    <t>Aliasgar Mohammed Birader</t>
  </si>
  <si>
    <t>Taha Altafhusein Tarwala</t>
  </si>
  <si>
    <t>taha.tarwala@hqhb.in</t>
  </si>
  <si>
    <t>Zainab Juzer Patanwala</t>
  </si>
  <si>
    <t>zainab.patanwala@hqhb.in</t>
  </si>
  <si>
    <t>Process Documentation</t>
  </si>
  <si>
    <t>Process Documentation Executive</t>
  </si>
  <si>
    <t>Moiz Asgar Barwaniwala</t>
  </si>
  <si>
    <t>moiz.barwaniwala@hqhb.in</t>
  </si>
  <si>
    <t>Information Technology</t>
  </si>
  <si>
    <t>IT Implementation</t>
  </si>
  <si>
    <t>Deployment Specialist</t>
  </si>
  <si>
    <t>Murtaza Shabbir Pardawallah</t>
  </si>
  <si>
    <t>Murtuza Mansoor Tohfafarosh</t>
  </si>
  <si>
    <t>murtuza.tohfafarosh@hqhb.in</t>
  </si>
  <si>
    <t>Head Product Development</t>
  </si>
  <si>
    <t>Ibrahim Shabbir Tambawala</t>
  </si>
  <si>
    <t>ibrahim.tambawala@hqhb.in</t>
  </si>
  <si>
    <t>Finance Executive</t>
  </si>
  <si>
    <t>Mufaddal Abbas Tinwala</t>
  </si>
  <si>
    <t>Moiz Mohamedi Kagalwala</t>
  </si>
  <si>
    <t>moiz.kagalwala@hqhb.in</t>
  </si>
  <si>
    <t>Training &amp; Development</t>
  </si>
  <si>
    <t>Lead Talent Development</t>
  </si>
  <si>
    <t>Mufaddal Mohsin Rangwala</t>
  </si>
  <si>
    <t>mufaddal.rangwala@hqhb.in</t>
  </si>
  <si>
    <t>Regional Development Officer</t>
  </si>
  <si>
    <t>Burhanuddin Nooruddin Chomelawala</t>
  </si>
  <si>
    <t>burhanuddin.chomelawala@hqhb.in</t>
  </si>
  <si>
    <t>Yusuf Khurshidali Udaipurwala</t>
  </si>
  <si>
    <t>yusuf.udaipurwala@hqhb.in</t>
  </si>
  <si>
    <t>Mulla Aliasgar Khuzema Master</t>
  </si>
  <si>
    <t>aliasgar.master@hqhb.in</t>
  </si>
  <si>
    <t>Industrial Development</t>
  </si>
  <si>
    <t>Burhanuddin Shabbir Shikari</t>
  </si>
  <si>
    <t>burhanuddin.shikari@hqhb.in</t>
  </si>
  <si>
    <t>HR Operations</t>
  </si>
  <si>
    <t>Lead HR Ops &amp; Business Partner</t>
  </si>
  <si>
    <t>Aliasgar Hatim Motorwala</t>
  </si>
  <si>
    <t>aliasgar.motorwala@hqhb.in</t>
  </si>
  <si>
    <t>Operations Coordinator</t>
  </si>
  <si>
    <t>Farida Patanwala</t>
  </si>
  <si>
    <t>farida.patanwala@hqhb.in</t>
  </si>
  <si>
    <t>Research &amp; Development</t>
  </si>
  <si>
    <t>Renewable Resources</t>
  </si>
  <si>
    <t>Admin Support</t>
  </si>
  <si>
    <t>Juzer Moiz Contractor</t>
  </si>
  <si>
    <t>Aziz Moiz Suratwala</t>
  </si>
  <si>
    <t>aziz.suratwala@hqhb.in</t>
  </si>
  <si>
    <t>IT Support</t>
  </si>
  <si>
    <t>Hardware Support Executive</t>
  </si>
  <si>
    <t>Tasneem Zaveri</t>
  </si>
  <si>
    <t>tasneem.zaveri@hqhb.in</t>
  </si>
  <si>
    <t>Curriculum Management Advisor</t>
  </si>
  <si>
    <t>Bs Shabbar bsb Saeedulkhair bsb Najmuddin</t>
  </si>
  <si>
    <t>Alifiya Murtaza Nalwala</t>
  </si>
  <si>
    <t>alifiya.nalwala@hqhb.in</t>
  </si>
  <si>
    <t>Facilities Management</t>
  </si>
  <si>
    <t>Front Desk Executive</t>
  </si>
  <si>
    <t>Arwa Hatim Balasinorwala</t>
  </si>
  <si>
    <t>arwa.balasinorwala@hqhb.in</t>
  </si>
  <si>
    <t>Recruitment</t>
  </si>
  <si>
    <t>Executive Talent Acquisition</t>
  </si>
  <si>
    <t>murtaza.pardawallah@hqhb.in</t>
  </si>
  <si>
    <t>SoftwareDevelopment</t>
  </si>
  <si>
    <t>Senior Manager</t>
  </si>
  <si>
    <t>Yusuf Shaikh Mohammed Maharaj</t>
  </si>
  <si>
    <t>yusuf.maharaj@hqhb.in</t>
  </si>
  <si>
    <t>Shabbir Shaikh Akbarali Chittalwala</t>
  </si>
  <si>
    <t>Taikhoom Zuzer Dhariwala</t>
  </si>
  <si>
    <t>taikhoom.dhariwala@hqhb.in</t>
  </si>
  <si>
    <t>Mohsin Mannan Dudhiyawala</t>
  </si>
  <si>
    <t>Mustafa Moiz Sanchawala</t>
  </si>
  <si>
    <t>mustafa.sanchawala@hqhb.in</t>
  </si>
  <si>
    <t>Abdeali Master</t>
  </si>
  <si>
    <t>abdeali.master@hqhb.in</t>
  </si>
  <si>
    <t>Communications</t>
  </si>
  <si>
    <t>Marketing.</t>
  </si>
  <si>
    <t>Marketing &amp; Social Media Executive</t>
  </si>
  <si>
    <t>Huzefa Hakimuddin Shakir</t>
  </si>
  <si>
    <t>huzaifa.shakir@hqhb.in</t>
  </si>
  <si>
    <t>Communication Manager</t>
  </si>
  <si>
    <t>Fatema Aliasgar Maimoon</t>
  </si>
  <si>
    <t>fatema.maimoon@hqhb.in</t>
  </si>
  <si>
    <t>Project Coordinator</t>
  </si>
  <si>
    <t>Mustafa Haider Patrawala</t>
  </si>
  <si>
    <t>mustafa.patrawala@hqhb.in</t>
  </si>
  <si>
    <t>Customer Support</t>
  </si>
  <si>
    <t>Customer Support Executive</t>
  </si>
  <si>
    <t>Mohammed Mulla Gulamabbas Jivaji</t>
  </si>
  <si>
    <t>Ammar Abbas Pardawala</t>
  </si>
  <si>
    <t>ammar.pardawala@hqhb.in</t>
  </si>
  <si>
    <t>Project Manager</t>
  </si>
  <si>
    <t>Mohammed Abdulla Nalwala</t>
  </si>
  <si>
    <t>mohammed.nalwala@hqhb.in</t>
  </si>
  <si>
    <t>Project Management</t>
  </si>
  <si>
    <t>Hussain Shamaun Fakhari</t>
  </si>
  <si>
    <t>shabbir.chittalwala@hqhb.in</t>
  </si>
  <si>
    <t>Fatema Fakhruddin Jamali</t>
  </si>
  <si>
    <t>fatema.jamali@hqhb.in</t>
  </si>
  <si>
    <t>aliasger.vaziri@hqhb.in</t>
  </si>
  <si>
    <t>Operation</t>
  </si>
  <si>
    <t>Ahmed Ali Pipewala</t>
  </si>
  <si>
    <t>ahmedali.pipewala@dbohra.com</t>
  </si>
  <si>
    <t>Chief Service Officer</t>
  </si>
  <si>
    <t>Khuzema Hussain Neherwala</t>
  </si>
  <si>
    <t>khuzema.neherwala@hqhb.in</t>
  </si>
  <si>
    <t>Ammar Kanchwala</t>
  </si>
  <si>
    <t>ammar.kanchwala@hqhb.in</t>
  </si>
  <si>
    <t>Marketing &amp; Promotion</t>
  </si>
  <si>
    <t>Communication</t>
  </si>
  <si>
    <t>CMO</t>
  </si>
  <si>
    <t>Mulla Murtaza Mustafa Kotwala</t>
  </si>
  <si>
    <t>murtaza.kotwala@hqhb.in</t>
  </si>
  <si>
    <t>Sakina Sadriwala</t>
  </si>
  <si>
    <t>sakina.sadriwala@hqhb.in</t>
  </si>
  <si>
    <t>Secretary</t>
  </si>
  <si>
    <t>Aziz Shabbir Chechatwala</t>
  </si>
  <si>
    <t>aziz.chechatwala@hqhb.in</t>
  </si>
  <si>
    <t>Ishaaq Esmail Patanwala</t>
  </si>
  <si>
    <t>ishaaq.patanwala@hqhb.in</t>
  </si>
  <si>
    <t>Sakina Taher Godhrawala</t>
  </si>
  <si>
    <t>sakina.godhrawala@hqhb.in</t>
  </si>
  <si>
    <t>Mulla Aziz Zainuddin bhai Dahodwala</t>
  </si>
  <si>
    <t>aziz.dohadwala@hqhb.in</t>
  </si>
  <si>
    <t>Mulla Murtaza Hussain Ajmerwala</t>
  </si>
  <si>
    <t>Shaikh Fakhruddin Petlawad</t>
  </si>
  <si>
    <t>fakhruddin.petlawad@hqhb.in</t>
  </si>
  <si>
    <t>Consultant Chief Finance Officer (USA/Canada)</t>
  </si>
  <si>
    <t>Aliasgar Zainuddin Kuwalawala</t>
  </si>
  <si>
    <t>aliasgar.kuwalawala@hqhb.in</t>
  </si>
  <si>
    <t>mohsin.dudhiyawala@hqhb.in</t>
  </si>
  <si>
    <t>Yakub Mustafa Dawawala</t>
  </si>
  <si>
    <t>yakub.dawawala@hqhb.in</t>
  </si>
  <si>
    <t>Accounts.</t>
  </si>
  <si>
    <t>Accounts Executive</t>
  </si>
  <si>
    <t>mohammed.jivaji@hqhb.in</t>
  </si>
  <si>
    <t>Customer Experience Manager</t>
  </si>
  <si>
    <t>Taher Shaikh Fakhruddin Chinwala</t>
  </si>
  <si>
    <t>taher.chinwala@hqhb.in</t>
  </si>
  <si>
    <t>Industrial Development Executive</t>
  </si>
  <si>
    <t>Akbar Joyeb Jawadwala</t>
  </si>
  <si>
    <t>akbar.jawadwala@hqhb.in</t>
  </si>
  <si>
    <t>Tasneem Akbar Poonawala</t>
  </si>
  <si>
    <t>tasneem.poonawala@hqhb.in</t>
  </si>
  <si>
    <t>Women Entrepreneurship</t>
  </si>
  <si>
    <t>Tasneem Kutbuddin Dohadwala</t>
  </si>
  <si>
    <t>Rashida Yusuf Dahodwala</t>
  </si>
  <si>
    <t>rashida.dohadwala@hqhb.in</t>
  </si>
  <si>
    <t>Accounts Manager</t>
  </si>
  <si>
    <t>Moiz Yusufali Shajapurwala</t>
  </si>
  <si>
    <t>moiz.shajapurwala@hqhb.in</t>
  </si>
  <si>
    <t>Partnership</t>
  </si>
  <si>
    <t>Mulla Idrees Shaikh Qutbuddin Kotawala</t>
  </si>
  <si>
    <t>Sarah Hozefa Zariwala</t>
  </si>
  <si>
    <t>sarrah.zariwala@hqhb.in</t>
  </si>
  <si>
    <t>Mulla Mohammed Hakimuddin Mamoowala</t>
  </si>
  <si>
    <t>Sakina Abbas Kathanawala</t>
  </si>
  <si>
    <t>sakina.kathanawala@hqhb.in</t>
  </si>
  <si>
    <t>Travel Desk</t>
  </si>
  <si>
    <t>Travel Desk Coordinator</t>
  </si>
  <si>
    <t>Husain Shabbir Poonawala</t>
  </si>
  <si>
    <t>husain.poonawala@hqhb.in</t>
  </si>
  <si>
    <t>Husain Shabbir Ratlamwala</t>
  </si>
  <si>
    <t>husain.ratlamwala@hqhb.in</t>
  </si>
  <si>
    <t>Burhanuddin Mustafa Bohra</t>
  </si>
  <si>
    <t>burhanuddin.bohra@hqhb.in</t>
  </si>
  <si>
    <t>Adnan Mulla Aliasgar Dewaswala</t>
  </si>
  <si>
    <t>adnan.dewaswala@hqhb.in</t>
  </si>
  <si>
    <t>Event Management</t>
  </si>
  <si>
    <t>Event Management Executive</t>
  </si>
  <si>
    <t>Taha Abdulhussain Chunawala</t>
  </si>
  <si>
    <t>taha.chunawala@hqhb.in</t>
  </si>
  <si>
    <t>Saifuddin Kutubuddin Abedanwala</t>
  </si>
  <si>
    <t>saifuddin.abedanwala@hqhb.in</t>
  </si>
  <si>
    <t>hrd@hqhb.in</t>
  </si>
  <si>
    <t>Head HR &amp; Facilities</t>
  </si>
  <si>
    <t>hussain.fakhari@hqhb.in</t>
  </si>
  <si>
    <t>Consultant Head PMO</t>
  </si>
  <si>
    <t>Mariya Yusufi Rupawala</t>
  </si>
  <si>
    <t>mariya.rupawala@hqhb.in</t>
  </si>
  <si>
    <t>Senior Executive</t>
  </si>
  <si>
    <t>Mufaddal Ali Asgar Hamid</t>
  </si>
  <si>
    <t>mufaddal.lightwala@hqhb.in</t>
  </si>
  <si>
    <t>Mulla Qasim Shaikh Hasan bhai Kaydawala</t>
  </si>
  <si>
    <t>qasim.kaydawala@hqhb.in</t>
  </si>
  <si>
    <t>Zainab Huzaifa Rajkotwala</t>
  </si>
  <si>
    <t>zainab.rajkotwala@hqhb.in</t>
  </si>
  <si>
    <t>Product Coordinator</t>
  </si>
  <si>
    <t>Bs Aliasger bsb Mustafa bsb Vajihee</t>
  </si>
  <si>
    <t>aliasger.vajihi@hqhb.in</t>
  </si>
  <si>
    <t>idrees.kotawala@hqhb.in</t>
  </si>
  <si>
    <t>Hannan Fakhruddin Kuwazarwala</t>
  </si>
  <si>
    <t>hannan.kuwazarwala@hqhb.in</t>
  </si>
  <si>
    <t>Abdulqadir Mohammed Arsiwala</t>
  </si>
  <si>
    <t>abdulqadir.arsiwala@hqhb.in</t>
  </si>
  <si>
    <t>Aziz Juzar Shahiwala</t>
  </si>
  <si>
    <t>aziz.shahiwala@hqhb.in</t>
  </si>
  <si>
    <t>Mustafa Abdeali Bootwala</t>
  </si>
  <si>
    <t>mustafa.bootwala@hqhb.in</t>
  </si>
  <si>
    <t>Murtaza Lokhandwala</t>
  </si>
  <si>
    <t>murtaza.lokhandwala@hqhb.in</t>
  </si>
  <si>
    <t>Case Manager</t>
  </si>
  <si>
    <t>Mohammedulbaquir Muder Ezzi</t>
  </si>
  <si>
    <t>mohammedulbaquir.ezzi@hqhb.in</t>
  </si>
  <si>
    <t>Rashida Mustafa Kherodawala</t>
  </si>
  <si>
    <t>rashida.modi@hqhb.in</t>
  </si>
  <si>
    <t>Legal</t>
  </si>
  <si>
    <t>Legal Advisor</t>
  </si>
  <si>
    <t>Mohammed Shabbir Bharmal</t>
  </si>
  <si>
    <t>mohammed.bharmal@hqhb.in</t>
  </si>
  <si>
    <t>Abdullah Mithaiwala</t>
  </si>
  <si>
    <t>abdullah.mithaiwala@hqhb.in</t>
  </si>
  <si>
    <t>Aliasgar Shabbir Mangalmahudiwala</t>
  </si>
  <si>
    <t>aliasgar.mangalmahudi@hqhb.in</t>
  </si>
  <si>
    <t>Taher Nadeem</t>
  </si>
  <si>
    <t>taher.nadeem@hqhb.in</t>
  </si>
  <si>
    <t>Consultant Head Industrial Development</t>
  </si>
  <si>
    <t>Mulla Aliasgar Shabbir Ali Jamnagarwala</t>
  </si>
  <si>
    <t>aliasgar.jamnagarwala@hqhb.in</t>
  </si>
  <si>
    <t>Burhanuddin Najmuddin Suratwala</t>
  </si>
  <si>
    <t>burhan.suratwala@hqhb.in</t>
  </si>
  <si>
    <t>Hozefa Shabbir Mithaiwala</t>
  </si>
  <si>
    <t>hozefa.mithaiwala@hqhb.in</t>
  </si>
  <si>
    <t>Credit Controller</t>
  </si>
  <si>
    <t>Taher Shabbir Patrawala</t>
  </si>
  <si>
    <t>taher.patrawala@hqhb.in</t>
  </si>
  <si>
    <t>Mohammed Shabbir Kolsawala</t>
  </si>
  <si>
    <t>mohammed.kolsawala@hqhb.in</t>
  </si>
  <si>
    <t>Audit</t>
  </si>
  <si>
    <t>Risk Auditor</t>
  </si>
  <si>
    <t>Burhanuddin Abbas Qutbi</t>
  </si>
  <si>
    <t>burhanuddin.qutbi@hqhb.in</t>
  </si>
  <si>
    <t>Shabbir Ali Asgar Shakir</t>
  </si>
  <si>
    <t>shabbir.shakir@hqhb.in</t>
  </si>
  <si>
    <t>Burhanuddin Shabbir Tapia</t>
  </si>
  <si>
    <t>burhanuddin.tapia@hqhb.in</t>
  </si>
  <si>
    <t>Mulla Husain Mulla Huzaifa Vohra</t>
  </si>
  <si>
    <t>husain.vohra@hqhb.in</t>
  </si>
  <si>
    <t>Mufaddal Qutbuddin Safdari</t>
  </si>
  <si>
    <t>mufaddal.safdari@hqhb.in</t>
  </si>
  <si>
    <t>Business Analyst</t>
  </si>
  <si>
    <t>Adnan Shabbir Bhanpurwala</t>
  </si>
  <si>
    <t>adnan.bhanpurwala@hqhb.in</t>
  </si>
  <si>
    <t>Facilities Manager</t>
  </si>
  <si>
    <t>Abdeali Shabbir Patanwala</t>
  </si>
  <si>
    <t>abdeali.patanwala@hqhb.in</t>
  </si>
  <si>
    <t>aliasgar.birader@hqhb.in</t>
  </si>
  <si>
    <t>Consultant Chief Finance Officer (India/Khaleej)</t>
  </si>
  <si>
    <t>Abizer Jamali</t>
  </si>
  <si>
    <t>abizer.jamali@hqhb.in</t>
  </si>
  <si>
    <t>Consultant Business Development</t>
  </si>
  <si>
    <t>Arwa Juzer Kothari</t>
  </si>
  <si>
    <t>Arwa.Kothari@hqhb.in</t>
  </si>
  <si>
    <t>Accountant</t>
  </si>
  <si>
    <t>Hussain Shabbir Sidhpurwala</t>
  </si>
  <si>
    <t>hussain.sidhpurwala@hqhb.in</t>
  </si>
  <si>
    <t>Company Secretary</t>
  </si>
  <si>
    <t>mufaddal.tinwala@hqhb.in</t>
  </si>
  <si>
    <t>Finance Manager</t>
  </si>
  <si>
    <t>Fakhruddin Shaikh Asgar Ali Dula</t>
  </si>
  <si>
    <t>fakhruddin.dula@hqhb.in</t>
  </si>
  <si>
    <t>Mohammed Yahya Kamdar</t>
  </si>
  <si>
    <t>mohammed.kamdar@hqhb.in</t>
  </si>
  <si>
    <t>Huzaifa Kiranawala</t>
  </si>
  <si>
    <t>huzaifa.kiranawala@hqhb.in</t>
  </si>
  <si>
    <t>Aliasgar Haider Ali Beenawala</t>
  </si>
  <si>
    <t>aliasgar.beenawala@hqhb.in</t>
  </si>
  <si>
    <t>Team Head Accounts</t>
  </si>
  <si>
    <t>Burhanuddin TayyabHussain Moomin</t>
  </si>
  <si>
    <t>burhanuddin.moomin@hqhb.in</t>
  </si>
  <si>
    <t>Adnan Saleh Roopawala</t>
  </si>
  <si>
    <t>adnan.roopawala@hqhb.in</t>
  </si>
  <si>
    <t>Moiz Yusuf Darbar</t>
  </si>
  <si>
    <t>moiz.darbar@hqhb.in</t>
  </si>
  <si>
    <t>Yusuf Dewaswala</t>
  </si>
  <si>
    <t>yusuf.dewaswala@hqhb.in</t>
  </si>
  <si>
    <t>Murtaza Kapasi</t>
  </si>
  <si>
    <t>murtaza.kapasi@hqhb.in</t>
  </si>
  <si>
    <t>Consultant Operations</t>
  </si>
  <si>
    <t>Sakina Fakhruddin Vohra</t>
  </si>
  <si>
    <t>sakina.vohra@hqhb.in</t>
  </si>
  <si>
    <t>Junior Manager</t>
  </si>
  <si>
    <t>Hussain Yusuf Khanbhaiwala</t>
  </si>
  <si>
    <t>hussain.khanbhaiwala@hqhb.in</t>
  </si>
  <si>
    <t>Taha Mohammed Pipewala</t>
  </si>
  <si>
    <t>taha.pipewala@hqhb.in</t>
  </si>
  <si>
    <t>Database Management &amp; Security</t>
  </si>
  <si>
    <t>Database Specialist</t>
  </si>
  <si>
    <t>Mulla Hamza Shaikh Alazhar Shakir</t>
  </si>
  <si>
    <t>hamza.shakir@hqhb.in</t>
  </si>
  <si>
    <t>mohammed.sabuwala@hqhb.in</t>
  </si>
  <si>
    <t>CTO</t>
  </si>
  <si>
    <t>hussian.kalavadwala@hqhb.in</t>
  </si>
  <si>
    <t>Coordination &amp; Business Process Modelling</t>
  </si>
  <si>
    <t>Head Coordination Management</t>
  </si>
  <si>
    <t>juzer.contractor@hqhb.in</t>
  </si>
  <si>
    <t>Head Renewable Resources</t>
  </si>
  <si>
    <t>Maryam Moiz Lokhandwala</t>
  </si>
  <si>
    <t>maryam.lokhandwala@hqhb.in</t>
  </si>
  <si>
    <t>Mohammed Kothambawala</t>
  </si>
  <si>
    <t>mohammed.kothambawala@hqhb.in</t>
  </si>
  <si>
    <t>MIS</t>
  </si>
  <si>
    <t>Consultant PowerBI</t>
  </si>
  <si>
    <t>mohammed.mamoowala@hqhb.in</t>
  </si>
  <si>
    <t>Mulla Shabbir Yunus bhai Lohawala</t>
  </si>
  <si>
    <t>shabbir.lohawala@hqhb.in</t>
  </si>
  <si>
    <t>Taher Hatim Ghaniwala</t>
  </si>
  <si>
    <t>taher.ghaniwala@hqhb.in</t>
  </si>
  <si>
    <t>Moiz Jawadwala</t>
  </si>
  <si>
    <t>moiz.jawadwala@hqhb.in</t>
  </si>
  <si>
    <t>Consultant Event Management</t>
  </si>
  <si>
    <t>murtaza.ajmerwala@hqhb.in</t>
  </si>
  <si>
    <t>Abbas Ali Petrolwala</t>
  </si>
  <si>
    <t>abbasali.petrolwala@hqhb.in</t>
  </si>
  <si>
    <t>Ali Asger Badshah</t>
  </si>
  <si>
    <t>aliasger.badshah@hqhb.in</t>
  </si>
  <si>
    <t>Saifuddin Mohammad Husain Burhanpurwala</t>
  </si>
  <si>
    <t>saifuddin.burhanpurwala@hqhb.in</t>
  </si>
  <si>
    <t>Tasneem Habil Mithaiwala</t>
  </si>
  <si>
    <t>tasneem.mithaiwala@hqhb.in</t>
  </si>
  <si>
    <t>tasneem.dohadwala@hqhb.in</t>
  </si>
  <si>
    <t>Consultant Head Women Entrepreneurship</t>
  </si>
  <si>
    <t>Murtaza Yusuf Makda</t>
  </si>
  <si>
    <t>murtaza.makda@hqhb.in</t>
  </si>
  <si>
    <t>Hussain Hakim Bagasrawalla</t>
  </si>
  <si>
    <t>hussain.bagasrawalla@hqhb.in</t>
  </si>
  <si>
    <t>Fatema Aziz Porbanderwala</t>
  </si>
  <si>
    <t>fatema.porbanderwala@hqhb.in</t>
  </si>
  <si>
    <t>T&amp;D</t>
  </si>
  <si>
    <t>Product Coordinator TAP</t>
  </si>
  <si>
    <t>Taher Tasaduk Husain Umrethwala</t>
  </si>
  <si>
    <t>taher.umrethwala@hqhb.in</t>
  </si>
  <si>
    <t>Moiz Aziz Master</t>
  </si>
  <si>
    <t>moiz.master@hqhb.in</t>
  </si>
  <si>
    <t>Chief Accountant</t>
  </si>
  <si>
    <t>Fatema Mulla Shabbir Bhatia</t>
  </si>
  <si>
    <t>fatema.bhatia@hqhb.in</t>
  </si>
  <si>
    <t>saeedulkhair.najmuddin@hqhb.in</t>
  </si>
  <si>
    <t>Management</t>
  </si>
  <si>
    <t>Shz Hussain BS Burhanuddin</t>
  </si>
  <si>
    <t>huzaifamqh@hqhb.in</t>
  </si>
  <si>
    <t>Bs Taher bsb Shaikh Kumail</t>
  </si>
  <si>
    <t>taher.kumail@hqhb.in</t>
  </si>
  <si>
    <t>shabbar.najmuddin@hqhb.in</t>
  </si>
  <si>
    <t>Bs Idris bsb Behlul bsb Zakiuddin</t>
  </si>
  <si>
    <t>idris.zakiuddin@hqhb.in</t>
  </si>
  <si>
    <t>ITS:</t>
  </si>
  <si>
    <t>Email:</t>
  </si>
  <si>
    <t>Sub Dept:</t>
  </si>
  <si>
    <t>Designation:</t>
  </si>
  <si>
    <t>Mob No.</t>
  </si>
  <si>
    <t>Balance Sick leave days:</t>
  </si>
  <si>
    <t>Balance Comp off days:</t>
  </si>
  <si>
    <t>Applicants Signature</t>
  </si>
  <si>
    <t>DOJ</t>
  </si>
  <si>
    <t>Work Handed Over To</t>
  </si>
  <si>
    <t>Huzaifa bsb Mukkaram bsb Hakimuddin</t>
  </si>
  <si>
    <t>To be verified by HR</t>
  </si>
  <si>
    <t>Approvals</t>
  </si>
  <si>
    <t>Signature</t>
  </si>
  <si>
    <t>Name</t>
  </si>
  <si>
    <t>Compensatory Off</t>
  </si>
  <si>
    <t>No</t>
  </si>
  <si>
    <t>Family commitment due to Eid</t>
  </si>
  <si>
    <t>Sick Leave</t>
  </si>
  <si>
    <t>Half Day 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</si>
</sst>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3" borderId="11" xfId="0" applyNumberFormat="1" applyFont="1" applyFill="1" applyBorder="1" applyAlignment="1" applyProtection="1">
      <alignment horizontal="center"/>
    </xf>
    <xf numFmtId="14" fontId="1" fillId="3" borderId="11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left" wrapText="1"/>
    </xf>
    <xf numFmtId="14" fontId="0" fillId="0" borderId="0" xfId="0" applyNumberFormat="1" applyFont="1" applyFill="1" applyBorder="1" applyAlignment="1" applyProtection="1">
      <alignment horizontal="left" wrapText="1"/>
    </xf>
    <xf numFmtId="0" fontId="0" fillId="0" borderId="0" xfId="0" applyNumberFormat="1" applyFont="1" applyFill="1" applyBorder="1" applyAlignment="1" applyProtection="1">
      <alignment wrapText="1"/>
    </xf>
    <xf numFmtId="0" fontId="2" fillId="2" borderId="0" xfId="0" applyFont="1" applyFill="1" applyBorder="1" applyProtection="1">
      <protection hidden="1"/>
    </xf>
    <xf numFmtId="0" fontId="2" fillId="2" borderId="9" xfId="0" applyFont="1" applyFill="1" applyBorder="1" applyAlignment="1" applyProtection="1">
      <alignment vertical="top"/>
      <protection hidden="1"/>
    </xf>
    <xf numFmtId="0" fontId="2" fillId="2" borderId="13" xfId="0" applyFont="1" applyFill="1" applyBorder="1" applyAlignment="1" applyProtection="1">
      <alignment vertical="center"/>
      <protection locked="0" hidden="1"/>
    </xf>
    <xf numFmtId="0" fontId="2" fillId="2" borderId="13" xfId="0" applyFont="1" applyFill="1" applyBorder="1" applyProtection="1">
      <protection locked="0"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 wrapText="1"/>
      <protection hidden="1"/>
    </xf>
    <xf numFmtId="14" fontId="2" fillId="2" borderId="11" xfId="0" applyNumberFormat="1" applyFont="1" applyFill="1" applyBorder="1" applyProtection="1">
      <protection locked="0" hidden="1"/>
    </xf>
    <xf numFmtId="0" fontId="2" fillId="2" borderId="11" xfId="0" applyFont="1" applyFill="1" applyBorder="1" applyProtection="1">
      <protection locked="0" hidden="1"/>
    </xf>
    <xf numFmtId="0" fontId="2" fillId="2" borderId="14" xfId="0" applyFont="1" applyFill="1" applyBorder="1" applyProtection="1">
      <protection locked="0" hidden="1"/>
    </xf>
    <xf numFmtId="0" fontId="2" fillId="2" borderId="11" xfId="0" applyFont="1" applyFill="1" applyBorder="1" applyAlignment="1" applyProtection="1">
      <protection hidden="1"/>
    </xf>
    <xf numFmtId="0" fontId="2" fillId="2" borderId="11" xfId="0" applyFont="1" applyFill="1" applyBorder="1" applyProtection="1">
      <protection hidden="1"/>
    </xf>
    <xf numFmtId="0" fontId="2" fillId="2" borderId="19" xfId="0" applyFont="1" applyFill="1" applyBorder="1" applyProtection="1">
      <protection locked="0" hidden="1"/>
    </xf>
    <xf numFmtId="0" fontId="2" fillId="2" borderId="12" xfId="0" applyFont="1" applyFill="1" applyBorder="1" applyAlignment="1" applyProtection="1">
      <alignment horizontal="center" vertical="center" wrapText="1"/>
      <protection hidden="1"/>
    </xf>
    <xf numFmtId="0" fontId="2" fillId="2" borderId="9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3" fillId="5" borderId="4" xfId="0" applyFont="1" applyFill="1" applyBorder="1" applyAlignment="1" applyProtection="1">
      <alignment horizontal="center" vertical="center"/>
      <protection hidden="1"/>
    </xf>
    <xf numFmtId="0" fontId="3" fillId="5" borderId="0" xfId="0" applyFont="1" applyFill="1" applyBorder="1" applyAlignment="1" applyProtection="1">
      <alignment horizontal="center" vertical="center"/>
      <protection hidden="1"/>
    </xf>
    <xf numFmtId="0" fontId="3" fillId="5" borderId="5" xfId="0" applyFont="1" applyFill="1" applyBorder="1" applyAlignment="1" applyProtection="1">
      <alignment horizontal="center" vertical="center"/>
      <protection hidden="1"/>
    </xf>
    <xf numFmtId="0" fontId="3" fillId="5" borderId="4" xfId="0" applyFont="1" applyFill="1" applyBorder="1" applyAlignment="1" applyProtection="1">
      <alignment horizontal="center" vertical="top"/>
      <protection hidden="1"/>
    </xf>
    <xf numFmtId="0" fontId="3" fillId="5" borderId="0" xfId="0" applyFont="1" applyFill="1" applyBorder="1" applyAlignment="1" applyProtection="1">
      <alignment horizontal="center" vertical="top"/>
      <protection hidden="1"/>
    </xf>
    <xf numFmtId="0" fontId="3" fillId="5" borderId="5" xfId="0" applyFont="1" applyFill="1" applyBorder="1" applyAlignment="1" applyProtection="1">
      <alignment horizontal="center" vertical="top"/>
      <protection hidden="1"/>
    </xf>
    <xf numFmtId="0" fontId="2" fillId="2" borderId="12" xfId="0" applyFont="1" applyFill="1" applyBorder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locked="0" hidden="1"/>
    </xf>
    <xf numFmtId="0" fontId="2" fillId="2" borderId="2" xfId="0" applyFont="1" applyFill="1" applyBorder="1" applyAlignment="1" applyProtection="1">
      <alignment horizontal="center"/>
      <protection locked="0" hidden="1"/>
    </xf>
    <xf numFmtId="0" fontId="2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7" xfId="0" applyFont="1" applyFill="1" applyBorder="1" applyAlignment="1" applyProtection="1">
      <alignment horizontal="center"/>
      <protection locked="0" hidden="1"/>
    </xf>
    <xf numFmtId="0" fontId="2" fillId="2" borderId="8" xfId="0" applyFont="1" applyFill="1" applyBorder="1" applyAlignment="1" applyProtection="1">
      <alignment horizontal="center"/>
      <protection locked="0" hidden="1"/>
    </xf>
    <xf numFmtId="14" fontId="2" fillId="4" borderId="1" xfId="0" applyNumberFormat="1" applyFont="1" applyFill="1" applyBorder="1" applyAlignment="1" applyProtection="1">
      <alignment horizontal="center"/>
      <protection hidden="1"/>
    </xf>
    <xf numFmtId="0" fontId="2" fillId="4" borderId="2" xfId="0" applyFont="1" applyFill="1" applyBorder="1" applyAlignment="1" applyProtection="1">
      <alignment horizontal="center"/>
      <protection hidden="1"/>
    </xf>
    <xf numFmtId="0" fontId="2" fillId="4" borderId="3" xfId="0" applyFont="1" applyFill="1" applyBorder="1" applyAlignment="1" applyProtection="1">
      <alignment horizontal="center"/>
      <protection hidden="1"/>
    </xf>
    <xf numFmtId="0" fontId="2" fillId="4" borderId="6" xfId="0" applyFont="1" applyFill="1" applyBorder="1" applyAlignment="1" applyProtection="1">
      <alignment horizontal="center"/>
      <protection hidden="1"/>
    </xf>
    <xf numFmtId="0" fontId="2" fillId="4" borderId="7" xfId="0" applyFont="1" applyFill="1" applyBorder="1" applyAlignment="1" applyProtection="1">
      <alignment horizontal="center"/>
      <protection hidden="1"/>
    </xf>
    <xf numFmtId="0" fontId="2" fillId="4" borderId="8" xfId="0" applyFont="1" applyFill="1" applyBorder="1" applyAlignment="1" applyProtection="1">
      <alignment horizontal="center"/>
      <protection hidden="1"/>
    </xf>
    <xf numFmtId="0" fontId="2" fillId="2" borderId="12" xfId="0" applyFont="1" applyFill="1" applyBorder="1" applyAlignment="1" applyProtection="1">
      <alignment horizontal="center" vertical="top"/>
      <protection locked="0" hidden="1"/>
    </xf>
    <xf numFmtId="0" fontId="2" fillId="2" borderId="9" xfId="0" applyFont="1" applyFill="1" applyBorder="1" applyAlignment="1" applyProtection="1">
      <alignment horizontal="center" vertical="top"/>
      <protection locked="0" hidden="1"/>
    </xf>
    <xf numFmtId="0" fontId="2" fillId="2" borderId="10" xfId="0" applyFont="1" applyFill="1" applyBorder="1" applyAlignment="1" applyProtection="1">
      <alignment horizontal="center" vertical="top"/>
      <protection locked="0" hidden="1"/>
    </xf>
    <xf numFmtId="0" fontId="2" fillId="4" borderId="11" xfId="0" applyFont="1" applyFill="1" applyBorder="1" applyAlignment="1" applyProtection="1">
      <alignment horizontal="center"/>
      <protection hidden="1"/>
    </xf>
    <xf numFmtId="0" fontId="2" fillId="4" borderId="16" xfId="0" applyFont="1" applyFill="1" applyBorder="1" applyAlignment="1" applyProtection="1">
      <alignment horizontal="center"/>
      <protection hidden="1"/>
    </xf>
    <xf numFmtId="0" fontId="2" fillId="2" borderId="11" xfId="0" applyFont="1" applyFill="1" applyBorder="1" applyAlignment="1" applyProtection="1">
      <alignment horizontal="center" vertical="top"/>
      <protection locked="0" hidden="1"/>
    </xf>
    <xf numFmtId="0" fontId="2" fillId="2" borderId="16" xfId="0" applyFont="1" applyFill="1" applyBorder="1" applyAlignment="1" applyProtection="1">
      <alignment horizontal="center" vertical="top"/>
      <protection locked="0" hidden="1"/>
    </xf>
    <xf numFmtId="0" fontId="2" fillId="2" borderId="14" xfId="0" applyFont="1" applyFill="1" applyBorder="1" applyAlignment="1" applyProtection="1">
      <alignment horizontal="center" vertical="top"/>
      <protection locked="0" hidden="1"/>
    </xf>
    <xf numFmtId="0" fontId="2" fillId="2" borderId="18" xfId="0" applyFont="1" applyFill="1" applyBorder="1" applyAlignment="1" applyProtection="1">
      <alignment horizontal="center" vertical="top"/>
      <protection locked="0" hidden="1"/>
    </xf>
    <xf numFmtId="0" fontId="2" fillId="2" borderId="15" xfId="0" applyFont="1" applyFill="1" applyBorder="1" applyAlignment="1" applyProtection="1">
      <alignment horizontal="center" vertical="center"/>
      <protection locked="0" hidden="1"/>
    </xf>
    <xf numFmtId="0" fontId="2" fillId="2" borderId="11" xfId="0" applyFont="1" applyFill="1" applyBorder="1" applyAlignment="1" applyProtection="1">
      <alignment horizontal="center" vertical="center"/>
      <protection locked="0"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 applyProtection="1">
      <alignment horizontal="center" vertical="center"/>
      <protection hidden="1"/>
    </xf>
    <xf numFmtId="0" fontId="3" fillId="5" borderId="12" xfId="0" applyFont="1" applyFill="1" applyBorder="1" applyAlignment="1" applyProtection="1">
      <alignment horizontal="center" wrapText="1"/>
      <protection hidden="1"/>
    </xf>
    <xf numFmtId="0" fontId="3" fillId="5" borderId="9" xfId="0" applyFont="1" applyFill="1" applyBorder="1" applyAlignment="1" applyProtection="1">
      <alignment horizontal="center" wrapText="1"/>
      <protection hidden="1"/>
    </xf>
    <xf numFmtId="0" fontId="3" fillId="5" borderId="10" xfId="0" applyFont="1" applyFill="1" applyBorder="1" applyAlignment="1" applyProtection="1">
      <alignment horizontal="center" wrapText="1"/>
      <protection hidden="1"/>
    </xf>
    <xf numFmtId="0" fontId="2" fillId="2" borderId="11" xfId="0" applyFont="1" applyFill="1" applyBorder="1" applyAlignment="1" applyProtection="1">
      <alignment horizontal="center" vertical="center" wrapText="1"/>
      <protection hidden="1"/>
    </xf>
    <xf numFmtId="0" fontId="2" fillId="2" borderId="16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locked="0" hidden="1"/>
    </xf>
    <xf numFmtId="0" fontId="2" fillId="2" borderId="2" xfId="0" applyFont="1" applyFill="1" applyBorder="1" applyAlignment="1" applyProtection="1">
      <alignment horizontal="center" vertical="center" wrapText="1"/>
      <protection locked="0" hidden="1"/>
    </xf>
    <xf numFmtId="0" fontId="2" fillId="2" borderId="3" xfId="0" applyFont="1" applyFill="1" applyBorder="1" applyAlignment="1" applyProtection="1">
      <alignment horizontal="center" vertical="center" wrapText="1"/>
      <protection locked="0" hidden="1"/>
    </xf>
    <xf numFmtId="0" fontId="2" fillId="2" borderId="6" xfId="0" applyFont="1" applyFill="1" applyBorder="1" applyAlignment="1" applyProtection="1">
      <alignment horizontal="center" vertical="center" wrapText="1"/>
      <protection locked="0" hidden="1"/>
    </xf>
    <xf numFmtId="0" fontId="2" fillId="2" borderId="7" xfId="0" applyFont="1" applyFill="1" applyBorder="1" applyAlignment="1" applyProtection="1">
      <alignment horizontal="center" vertical="center" wrapText="1"/>
      <protection locked="0" hidden="1"/>
    </xf>
    <xf numFmtId="0" fontId="2" fillId="2" borderId="8" xfId="0" applyFont="1" applyFill="1" applyBorder="1" applyAlignment="1" applyProtection="1">
      <alignment horizontal="center" vertical="center" wrapText="1"/>
      <protection locked="0" hidden="1"/>
    </xf>
    <xf numFmtId="0" fontId="2" fillId="2" borderId="11" xfId="0" applyFont="1" applyFill="1" applyBorder="1" applyAlignment="1" applyProtection="1">
      <alignment horizontal="center"/>
      <protection locked="0" hidden="1"/>
    </xf>
    <xf numFmtId="0" fontId="2" fillId="2" borderId="17" xfId="0" applyFont="1" applyFill="1" applyBorder="1" applyAlignment="1" applyProtection="1">
      <alignment horizontal="center" vertical="center"/>
      <protection locked="0" hidden="1"/>
    </xf>
    <xf numFmtId="0" fontId="2" fillId="2" borderId="14" xfId="0" applyFont="1" applyFill="1" applyBorder="1" applyAlignment="1" applyProtection="1">
      <alignment horizontal="center" vertical="center"/>
      <protection locked="0" hidden="1"/>
    </xf>
    <xf numFmtId="0" fontId="2" fillId="2" borderId="15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alignment horizontal="center"/>
      <protection hidden="1"/>
    </xf>
    <xf numFmtId="0" fontId="2" fillId="2" borderId="5" xfId="0" applyFont="1" applyFill="1" applyBorder="1" applyAlignment="1" applyProtection="1">
      <alignment horizontal="center"/>
      <protection hidden="1"/>
    </xf>
    <xf numFmtId="0" fontId="2" fillId="2" borderId="15" xfId="0" applyFont="1" applyFill="1" applyBorder="1" applyAlignment="1" applyProtection="1">
      <protection hidden="1"/>
    </xf>
    <xf numFmtId="0" fontId="2" fillId="2" borderId="11" xfId="0" applyFont="1" applyFill="1" applyBorder="1" applyAlignment="1" applyProtection="1">
      <protection hidden="1"/>
    </xf>
    <xf numFmtId="14" fontId="2" fillId="4" borderId="11" xfId="0" applyNumberFormat="1" applyFont="1" applyFill="1" applyBorder="1" applyAlignment="1" applyProtection="1">
      <alignment horizontal="center"/>
      <protection hidden="1"/>
    </xf>
    <xf numFmtId="14" fontId="2" fillId="4" borderId="16" xfId="0" applyNumberFormat="1" applyFont="1" applyFill="1" applyBorder="1" applyAlignment="1" applyProtection="1">
      <alignment horizontal="center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0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Alignment="1" applyProtection="1">
      <alignment horizontal="center"/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14" fontId="2" fillId="4" borderId="12" xfId="0" applyNumberFormat="1" applyFont="1" applyFill="1" applyBorder="1" applyAlignment="1" applyProtection="1">
      <alignment horizontal="center"/>
      <protection hidden="1"/>
    </xf>
    <xf numFmtId="0" fontId="2" fillId="4" borderId="9" xfId="0" applyFont="1" applyFill="1" applyBorder="1" applyAlignment="1" applyProtection="1">
      <alignment horizontal="center"/>
      <protection hidden="1"/>
    </xf>
    <xf numFmtId="0" fontId="2" fillId="4" borderId="10" xfId="0" applyFont="1" applyFill="1" applyBorder="1" applyAlignment="1" applyProtection="1">
      <alignment horizontal="center"/>
      <protection hidden="1"/>
    </xf>
    <xf numFmtId="0" fontId="2" fillId="2" borderId="10" xfId="0" applyFont="1" applyFill="1" applyBorder="1" applyAlignment="1" applyProtection="1">
      <alignment horizontal="center"/>
      <protection hidden="1"/>
    </xf>
    <xf numFmtId="14" fontId="2" fillId="4" borderId="9" xfId="0" applyNumberFormat="1" applyFont="1" applyFill="1" applyBorder="1" applyAlignment="1" applyProtection="1">
      <alignment horizontal="center"/>
      <protection hidden="1"/>
    </xf>
    <xf numFmtId="0" fontId="2" fillId="4" borderId="12" xfId="0" applyFont="1" applyFill="1" applyBorder="1" applyAlignment="1" applyProtection="1">
      <alignment horizontal="center" wrapText="1"/>
      <protection hidden="1"/>
    </xf>
    <xf numFmtId="0" fontId="2" fillId="4" borderId="9" xfId="0" applyFont="1" applyFill="1" applyBorder="1" applyAlignment="1" applyProtection="1">
      <alignment horizontal="center" wrapText="1"/>
      <protection hidden="1"/>
    </xf>
    <xf numFmtId="0" fontId="2" fillId="4" borderId="12" xfId="0" applyFont="1" applyFill="1" applyBorder="1" applyAlignment="1" applyProtection="1">
      <alignment horizontal="center"/>
      <protection hidden="1"/>
    </xf>
    <xf numFmtId="0" fontId="2" fillId="2" borderId="12" xfId="0" applyFont="1" applyFill="1" applyBorder="1" applyAlignment="1" applyProtection="1">
      <alignment horizontal="center" vertical="center"/>
      <protection locked="0" hidden="1"/>
    </xf>
    <xf numFmtId="0" fontId="2" fillId="2" borderId="10" xfId="0" applyFont="1" applyFill="1" applyBorder="1" applyAlignment="1" applyProtection="1">
      <alignment horizontal="center" vertical="center"/>
      <protection locked="0" hidden="1"/>
    </xf>
    <xf numFmtId="0" fontId="3" fillId="5" borderId="1" xfId="0" applyFont="1" applyFill="1" applyBorder="1" applyAlignment="1" applyProtection="1">
      <alignment horizontal="center" vertical="center"/>
      <protection hidden="1"/>
    </xf>
    <xf numFmtId="0" fontId="3" fillId="5" borderId="2" xfId="0" applyFont="1" applyFill="1" applyBorder="1" applyAlignment="1" applyProtection="1">
      <alignment horizontal="center" vertical="center"/>
      <protection hidden="1"/>
    </xf>
    <xf numFmtId="0" fontId="3" fillId="5" borderId="3" xfId="0" applyFont="1" applyFill="1" applyBorder="1" applyAlignment="1" applyProtection="1">
      <alignment horizontal="center" vertical="center"/>
      <protection hidden="1"/>
    </xf>
    <xf numFmtId="0" fontId="3" fillId="5" borderId="12" xfId="0" applyFont="1" applyFill="1" applyBorder="1" applyAlignment="1" applyProtection="1">
      <alignment horizontal="center"/>
      <protection hidden="1"/>
    </xf>
    <xf numFmtId="0" fontId="3" fillId="5" borderId="9" xfId="0" applyFont="1" applyFill="1" applyBorder="1" applyAlignment="1" applyProtection="1">
      <alignment horizontal="center"/>
      <protection hidden="1"/>
    </xf>
    <xf numFmtId="0" fontId="3" fillId="5" borderId="10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4BA0-BA2E-4833-B2D4-D6464B2089FF}">
  <sheetPr codeName="Sheet1"/>
  <dimension ref="A1:I30"/>
  <sheetViews>
    <sheetView tabSelected="1" zoomScaleNormal="100" workbookViewId="0">
      <selection activeCell="C14" sqref="C14:I15"/>
    </sheetView>
  </sheetViews>
  <sheetFormatPr defaultRowHeight="13.15" x14ac:dyDescent="0.4"/>
  <cols>
    <col min="1" max="3" width="9.06640625" style="7"/>
    <col min="4" max="6" width="9.265625" style="7" bestFit="1" customWidth="1"/>
    <col min="7" max="8" width="9.06640625" style="7"/>
    <col min="9" max="9" width="9.265625" style="7" bestFit="1" customWidth="1"/>
    <col min="10" max="16384" width="9.06640625" style="7"/>
  </cols>
  <sheetData>
    <row r="1" spans="1:9" ht="13.5" thickBot="1" x14ac:dyDescent="0.45">
      <c r="A1" s="53" t="s">
        <v>0</v>
      </c>
      <c r="B1" s="54"/>
      <c r="C1" s="54"/>
      <c r="D1" s="54"/>
      <c r="E1" s="54"/>
      <c r="F1" s="54"/>
      <c r="G1" s="54"/>
      <c r="H1" s="54"/>
      <c r="I1" s="55"/>
    </row>
    <row r="2" spans="1:9" ht="27" customHeight="1" thickBot="1" x14ac:dyDescent="0.45">
      <c r="A2" s="56" t="s">
        <v>1</v>
      </c>
      <c r="B2" s="57"/>
      <c r="C2" s="57"/>
      <c r="D2" s="57"/>
      <c r="E2" s="57"/>
      <c r="F2" s="57"/>
      <c r="G2" s="57"/>
      <c r="H2" s="57"/>
      <c r="I2" s="58"/>
    </row>
    <row r="3" spans="1:9" x14ac:dyDescent="0.4">
      <c r="A3" s="75"/>
      <c r="B3" s="76"/>
      <c r="C3" s="76"/>
      <c r="D3" s="76"/>
      <c r="E3" s="76"/>
      <c r="F3" s="76"/>
      <c r="G3" s="76"/>
      <c r="H3" s="76"/>
      <c r="I3" s="77"/>
    </row>
    <row r="4" spans="1:9" ht="14.65" customHeight="1" x14ac:dyDescent="0.4">
      <c r="A4" s="78" t="s">
        <v>432</v>
      </c>
      <c r="B4" s="79"/>
      <c r="C4" s="70">
        <v>30335694</v>
      </c>
      <c r="D4" s="70"/>
      <c r="E4" s="70"/>
      <c r="F4" s="16" t="s">
        <v>440</v>
      </c>
      <c r="G4" s="80">
        <f>IFERROR(VLOOKUP(C4,Sheet1!A:E,5,0),"")</f>
        <v>45250</v>
      </c>
      <c r="H4" s="80"/>
      <c r="I4" s="81"/>
    </row>
    <row r="5" spans="1:9" ht="14.25" customHeight="1" x14ac:dyDescent="0.4">
      <c r="A5" s="78" t="s">
        <v>2</v>
      </c>
      <c r="B5" s="79"/>
      <c r="C5" s="45" t="str">
        <f>IFERROR(VLOOKUP(C4,Sheet1!A:B,2,0),"")</f>
        <v>Mohammed Abdulla Nalwala</v>
      </c>
      <c r="D5" s="45"/>
      <c r="E5" s="45"/>
      <c r="F5" s="17" t="s">
        <v>433</v>
      </c>
      <c r="G5" s="45" t="str">
        <f>IFERROR(VLOOKUP(C4,Sheet1!A:C,3,0),"")</f>
        <v>mohammed.nalwala@hqhb.in</v>
      </c>
      <c r="H5" s="45"/>
      <c r="I5" s="46"/>
    </row>
    <row r="6" spans="1:9" ht="14.25" customHeight="1" x14ac:dyDescent="0.4">
      <c r="A6" s="78" t="s">
        <v>435</v>
      </c>
      <c r="B6" s="79"/>
      <c r="C6" s="45" t="str">
        <f>IFERROR(VLOOKUP(C4,Sheet1!A:H,8,0),"")</f>
        <v>Project Manager</v>
      </c>
      <c r="D6" s="45"/>
      <c r="E6" s="45"/>
      <c r="F6" s="17" t="s">
        <v>436</v>
      </c>
      <c r="G6" s="45">
        <f>IFERROR(VLOOKUP(C4,Sheet1!A:D,4,0),"")</f>
        <v>9969111150</v>
      </c>
      <c r="H6" s="45"/>
      <c r="I6" s="46"/>
    </row>
    <row r="7" spans="1:9" ht="14.25" customHeight="1" x14ac:dyDescent="0.4">
      <c r="A7" s="78" t="s">
        <v>3</v>
      </c>
      <c r="B7" s="79"/>
      <c r="C7" s="45" t="str">
        <f>IFERROR(VLOOKUP(C4,Sheet1!A:F,6,0),"")</f>
        <v>Project Management</v>
      </c>
      <c r="D7" s="45"/>
      <c r="E7" s="45"/>
      <c r="F7" s="17" t="s">
        <v>434</v>
      </c>
      <c r="G7" s="45" t="str">
        <f>IFERROR(VLOOKUP(C4,Sheet1!A:G,7,0),"")</f>
        <v>Project Management</v>
      </c>
      <c r="H7" s="45"/>
      <c r="I7" s="46"/>
    </row>
    <row r="8" spans="1:9" x14ac:dyDescent="0.4">
      <c r="A8" s="75"/>
      <c r="B8" s="76"/>
      <c r="C8" s="76"/>
      <c r="D8" s="76"/>
      <c r="E8" s="76"/>
      <c r="F8" s="76"/>
      <c r="G8" s="76"/>
      <c r="H8" s="76"/>
      <c r="I8" s="77"/>
    </row>
    <row r="9" spans="1:9" ht="26.25" x14ac:dyDescent="0.4">
      <c r="A9" s="73" t="s">
        <v>4</v>
      </c>
      <c r="B9" s="74"/>
      <c r="C9" s="74"/>
      <c r="D9" s="11" t="s">
        <v>10</v>
      </c>
      <c r="E9" s="11" t="s">
        <v>11</v>
      </c>
      <c r="F9" s="12" t="s">
        <v>5</v>
      </c>
      <c r="G9" s="11" t="s">
        <v>6</v>
      </c>
      <c r="H9" s="59" t="s">
        <v>12</v>
      </c>
      <c r="I9" s="60"/>
    </row>
    <row r="10" spans="1:9" x14ac:dyDescent="0.4">
      <c r="A10" s="51" t="s">
        <v>447</v>
      </c>
      <c r="B10" s="52"/>
      <c r="C10" s="52"/>
      <c r="D10" s="13">
        <v>46154</v>
      </c>
      <c r="E10" s="13">
        <v>46154</v>
      </c>
      <c r="F10" s="13"/>
      <c r="G10" s="14">
        <v>0.5</v>
      </c>
      <c r="H10" s="47" t="s">
        <v>448</v>
      </c>
      <c r="I10" s="48"/>
    </row>
    <row r="11" spans="1:9" x14ac:dyDescent="0.4">
      <c r="A11" s="51" t="s">
        <v>447</v>
      </c>
      <c r="B11" s="52"/>
      <c r="C11" s="52"/>
      <c r="D11" s="13">
        <v>46155</v>
      </c>
      <c r="E11" s="13">
        <v>46155</v>
      </c>
      <c r="F11" s="14"/>
      <c r="G11" s="14">
        <v>0.5</v>
      </c>
      <c r="H11" s="47" t="s">
        <v>448</v>
      </c>
      <c r="I11" s="48"/>
    </row>
    <row r="12" spans="1:9" x14ac:dyDescent="0.4">
      <c r="A12" s="51" t="s">
        <v>447</v>
      </c>
      <c r="B12" s="52"/>
      <c r="C12" s="52"/>
      <c r="D12" s="13">
        <v>46158</v>
      </c>
      <c r="E12" s="13">
        <v>46158</v>
      </c>
      <c r="F12" s="14"/>
      <c r="G12" s="14">
        <v>1</v>
      </c>
      <c r="H12" s="47" t="s">
        <v>448</v>
      </c>
      <c r="I12" s="48"/>
    </row>
    <row r="13" spans="1:9" ht="13.5" thickBot="1" x14ac:dyDescent="0.45">
      <c r="A13" s="71"/>
      <c r="B13" s="72"/>
      <c r="C13" s="72"/>
      <c r="D13" s="15"/>
      <c r="E13" s="15"/>
      <c r="F13" s="15"/>
      <c r="G13" s="15"/>
      <c r="H13" s="49"/>
      <c r="I13" s="50"/>
    </row>
    <row r="14" spans="1:9" x14ac:dyDescent="0.4">
      <c r="A14" s="61" t="s">
        <v>13</v>
      </c>
      <c r="B14" s="21"/>
      <c r="C14" s="64" t="s">
        <v>449</v>
      </c>
      <c r="D14" s="65"/>
      <c r="E14" s="65"/>
      <c r="F14" s="65"/>
      <c r="G14" s="65"/>
      <c r="H14" s="65"/>
      <c r="I14" s="66"/>
    </row>
    <row r="15" spans="1:9" ht="13.5" thickBot="1" x14ac:dyDescent="0.45">
      <c r="A15" s="62"/>
      <c r="B15" s="63"/>
      <c r="C15" s="67"/>
      <c r="D15" s="68"/>
      <c r="E15" s="68"/>
      <c r="F15" s="68"/>
      <c r="G15" s="68"/>
      <c r="H15" s="68"/>
      <c r="I15" s="69"/>
    </row>
    <row r="16" spans="1:9" ht="13.5" thickBot="1" x14ac:dyDescent="0.45">
      <c r="A16" s="82"/>
      <c r="B16" s="83"/>
      <c r="C16" s="83"/>
      <c r="D16" s="83"/>
      <c r="E16" s="83"/>
      <c r="F16" s="83"/>
      <c r="G16" s="83"/>
      <c r="H16" s="83"/>
      <c r="I16" s="84"/>
    </row>
    <row r="17" spans="1:9" ht="13.5" thickBot="1" x14ac:dyDescent="0.45">
      <c r="A17" s="28" t="s">
        <v>15</v>
      </c>
      <c r="B17" s="29"/>
      <c r="C17" s="96" t="s">
        <v>450</v>
      </c>
      <c r="D17" s="97"/>
      <c r="E17" s="8" t="s">
        <v>14</v>
      </c>
      <c r="F17" s="42" t="s">
        <v>451</v>
      </c>
      <c r="G17" s="43"/>
      <c r="H17" s="43"/>
      <c r="I17" s="44"/>
    </row>
    <row r="18" spans="1:9" ht="14.25" customHeight="1" thickBot="1" x14ac:dyDescent="0.45">
      <c r="A18" s="25" t="s">
        <v>441</v>
      </c>
      <c r="B18" s="26"/>
      <c r="C18" s="26"/>
      <c r="D18" s="26"/>
      <c r="E18" s="26"/>
      <c r="F18" s="26"/>
      <c r="G18" s="26"/>
      <c r="H18" s="26"/>
      <c r="I18" s="27"/>
    </row>
    <row r="19" spans="1:9" ht="40.5" customHeight="1" thickBot="1" x14ac:dyDescent="0.45">
      <c r="A19" s="28" t="s">
        <v>446</v>
      </c>
      <c r="B19" s="29"/>
      <c r="C19" s="29"/>
      <c r="D19" s="29"/>
      <c r="E19" s="91"/>
      <c r="F19" s="28" t="s">
        <v>445</v>
      </c>
      <c r="G19" s="29"/>
      <c r="H19" s="29"/>
      <c r="I19" s="91"/>
    </row>
    <row r="20" spans="1:9" ht="20.65" customHeight="1" x14ac:dyDescent="0.4">
      <c r="A20" s="30" t="s">
        <v>439</v>
      </c>
      <c r="B20" s="31"/>
      <c r="C20" s="31"/>
      <c r="D20" s="31"/>
      <c r="E20" s="32"/>
      <c r="F20" s="36">
        <f ca="1">IFERROR(TODAY(),"")</f>
        <v>46153</v>
      </c>
      <c r="G20" s="37"/>
      <c r="H20" s="37"/>
      <c r="I20" s="38"/>
    </row>
    <row r="21" spans="1:9" ht="13.5" thickBot="1" x14ac:dyDescent="0.45">
      <c r="A21" s="33"/>
      <c r="B21" s="34"/>
      <c r="C21" s="34"/>
      <c r="D21" s="34"/>
      <c r="E21" s="35"/>
      <c r="F21" s="39"/>
      <c r="G21" s="40"/>
      <c r="H21" s="40"/>
      <c r="I21" s="41"/>
    </row>
    <row r="22" spans="1:9" ht="13.5" thickBot="1" x14ac:dyDescent="0.45">
      <c r="A22" s="22" t="s">
        <v>444</v>
      </c>
      <c r="B22" s="23"/>
      <c r="C22" s="23"/>
      <c r="D22" s="23"/>
      <c r="E22" s="23"/>
      <c r="F22" s="23"/>
      <c r="G22" s="23"/>
      <c r="H22" s="23"/>
      <c r="I22" s="24"/>
    </row>
    <row r="23" spans="1:9" ht="13.5" thickBot="1" x14ac:dyDescent="0.45">
      <c r="A23" s="98" t="s">
        <v>8</v>
      </c>
      <c r="B23" s="99"/>
      <c r="C23" s="99"/>
      <c r="D23" s="99"/>
      <c r="E23" s="99"/>
      <c r="F23" s="99"/>
      <c r="G23" s="99"/>
      <c r="H23" s="99"/>
      <c r="I23" s="100"/>
    </row>
    <row r="24" spans="1:9" ht="39.75" customHeight="1" thickBot="1" x14ac:dyDescent="0.45">
      <c r="A24" s="95" t="str">
        <f>IFERROR(VLOOKUP(C4,Sheet1!A:I,9,0),"")</f>
        <v>Hussain Shamaun Fakhari</v>
      </c>
      <c r="B24" s="89"/>
      <c r="C24" s="89"/>
      <c r="D24" s="89"/>
      <c r="E24" s="28" t="s">
        <v>445</v>
      </c>
      <c r="F24" s="29"/>
      <c r="G24" s="91"/>
      <c r="H24" s="92">
        <f ca="1">IFERROR(TODAY(),"")</f>
        <v>46153</v>
      </c>
      <c r="I24" s="90"/>
    </row>
    <row r="25" spans="1:9" ht="13.5" thickBot="1" x14ac:dyDescent="0.45">
      <c r="A25" s="98" t="s">
        <v>9</v>
      </c>
      <c r="B25" s="99"/>
      <c r="C25" s="99"/>
      <c r="D25" s="99"/>
      <c r="E25" s="99"/>
      <c r="F25" s="99"/>
      <c r="G25" s="99"/>
      <c r="H25" s="99"/>
      <c r="I25" s="100"/>
    </row>
    <row r="26" spans="1:9" ht="45.75" customHeight="1" thickBot="1" x14ac:dyDescent="0.45">
      <c r="A26" s="93" t="s">
        <v>442</v>
      </c>
      <c r="B26" s="94"/>
      <c r="C26" s="94"/>
      <c r="D26" s="94"/>
      <c r="E26" s="28" t="s">
        <v>445</v>
      </c>
      <c r="F26" s="29"/>
      <c r="G26" s="91"/>
      <c r="H26" s="92">
        <f ca="1">IFERROR(TODAY(),"")</f>
        <v>46153</v>
      </c>
      <c r="I26" s="90"/>
    </row>
    <row r="27" spans="1:9" ht="13.5" thickBot="1" x14ac:dyDescent="0.45">
      <c r="A27" s="85"/>
      <c r="B27" s="86"/>
      <c r="C27" s="86"/>
      <c r="D27" s="86"/>
      <c r="E27" s="86"/>
      <c r="F27" s="86"/>
      <c r="G27" s="86"/>
      <c r="H27" s="86"/>
      <c r="I27" s="87"/>
    </row>
    <row r="28" spans="1:9" ht="13.5" thickBot="1" x14ac:dyDescent="0.45">
      <c r="A28" s="101" t="s">
        <v>443</v>
      </c>
      <c r="B28" s="102"/>
      <c r="C28" s="102"/>
      <c r="D28" s="102"/>
      <c r="E28" s="102"/>
      <c r="F28" s="102"/>
      <c r="G28" s="102"/>
      <c r="H28" s="102"/>
      <c r="I28" s="103"/>
    </row>
    <row r="29" spans="1:9" ht="25.9" customHeight="1" thickBot="1" x14ac:dyDescent="0.45">
      <c r="A29" s="19" t="s">
        <v>7</v>
      </c>
      <c r="B29" s="20"/>
      <c r="C29" s="9"/>
      <c r="D29" s="20" t="s">
        <v>438</v>
      </c>
      <c r="E29" s="20"/>
      <c r="F29" s="10"/>
      <c r="G29" s="20" t="s">
        <v>437</v>
      </c>
      <c r="H29" s="21"/>
      <c r="I29" s="18"/>
    </row>
    <row r="30" spans="1:9" ht="40.9" customHeight="1" thickBot="1" x14ac:dyDescent="0.45">
      <c r="A30" s="28" t="s">
        <v>445</v>
      </c>
      <c r="B30" s="29"/>
      <c r="C30" s="29"/>
      <c r="D30" s="29"/>
      <c r="E30" s="91"/>
      <c r="F30" s="88">
        <f ca="1">IFERROR(TODAY(),"")</f>
        <v>46153</v>
      </c>
      <c r="G30" s="89"/>
      <c r="H30" s="89"/>
      <c r="I30" s="90"/>
    </row>
  </sheetData>
  <sheetProtection algorithmName="SHA-512" hashValue="udBW403qupP2WLG3SjgVcwTcZA6NjAJ1ETSM5C9uFKX3ZX+HFv3OIYYZsyTpvUDsGAAxMdB2xTVCvqTrOlzEKA==" saltValue="0ZJ2Gevatvke8Oql49RlnA==" spinCount="100000" sheet="1" formatCells="0" formatColumns="0" formatRows="0" insertColumns="0" insertRows="0" insertHyperlinks="0" deleteColumns="0" deleteRows="0" sort="0" autoFilter="0" pivotTables="0"/>
  <mergeCells count="53">
    <mergeCell ref="A16:I16"/>
    <mergeCell ref="A27:I27"/>
    <mergeCell ref="F30:I30"/>
    <mergeCell ref="A30:E30"/>
    <mergeCell ref="H26:I26"/>
    <mergeCell ref="E26:G26"/>
    <mergeCell ref="A26:D26"/>
    <mergeCell ref="A24:D24"/>
    <mergeCell ref="E24:G24"/>
    <mergeCell ref="H24:I24"/>
    <mergeCell ref="A19:E19"/>
    <mergeCell ref="F19:I19"/>
    <mergeCell ref="C17:D17"/>
    <mergeCell ref="A23:I23"/>
    <mergeCell ref="A25:I25"/>
    <mergeCell ref="A28:I28"/>
    <mergeCell ref="A1:I1"/>
    <mergeCell ref="A2:I2"/>
    <mergeCell ref="H9:I9"/>
    <mergeCell ref="A14:B15"/>
    <mergeCell ref="C14:I15"/>
    <mergeCell ref="C4:E4"/>
    <mergeCell ref="A12:C12"/>
    <mergeCell ref="A13:C13"/>
    <mergeCell ref="A9:C9"/>
    <mergeCell ref="A3:I3"/>
    <mergeCell ref="A8:I8"/>
    <mergeCell ref="A4:B4"/>
    <mergeCell ref="A5:B5"/>
    <mergeCell ref="A6:B6"/>
    <mergeCell ref="A7:B7"/>
    <mergeCell ref="G4:I4"/>
    <mergeCell ref="A17:B17"/>
    <mergeCell ref="A20:E21"/>
    <mergeCell ref="F20:I21"/>
    <mergeCell ref="F17:I17"/>
    <mergeCell ref="G5:I5"/>
    <mergeCell ref="C6:E6"/>
    <mergeCell ref="G6:I6"/>
    <mergeCell ref="H10:I10"/>
    <mergeCell ref="H11:I11"/>
    <mergeCell ref="H12:I12"/>
    <mergeCell ref="H13:I13"/>
    <mergeCell ref="G7:I7"/>
    <mergeCell ref="C5:E5"/>
    <mergeCell ref="C7:E7"/>
    <mergeCell ref="A10:C10"/>
    <mergeCell ref="A11:C11"/>
    <mergeCell ref="A29:B29"/>
    <mergeCell ref="G29:H29"/>
    <mergeCell ref="D29:E29"/>
    <mergeCell ref="A22:I22"/>
    <mergeCell ref="A18:I18"/>
  </mergeCells>
  <dataValidations count="4">
    <dataValidation type="list" allowBlank="1" showInputMessage="1" showErrorMessage="1" sqref="A10:A13 C17" xr:uid="{DC6F44E5-3B1D-44F1-B555-B628FC278A9C}">
      <formula1>"Annual Leave, Sick Leave, Compensatory Off, Maternity Leave, Paternity Leave, Hajj Leave, Bereavement Leave, Unpaid Leave"</formula1>
    </dataValidation>
    <dataValidation type="decimal" operator="greaterThanOrEqual" allowBlank="1" showInputMessage="1" showErrorMessage="1" sqref="G10:G13" xr:uid="{E407574E-7EF5-4B9B-8DD0-52931CFD8B54}">
      <formula1>0.5</formula1>
    </dataValidation>
    <dataValidation type="list" allowBlank="1" showInputMessage="1" showErrorMessage="1" sqref="H10:I13" xr:uid="{77AB7E11-096B-49AC-BC73-2BA29065620C}">
      <formula1>"Yes, No"</formula1>
    </dataValidation>
    <dataValidation type="date" allowBlank="1" showInputMessage="1" showErrorMessage="1" sqref="D10:F13" xr:uid="{9DC02871-9B5F-46D9-AD97-AD7744C088F1}">
      <formula1>45748</formula1>
      <formula2>47573</formula2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2FB0-1BE0-4641-8958-121B397D80B6}">
  <sheetPr codeName="Sheet2"/>
  <dimension ref="A1:I146"/>
  <sheetViews>
    <sheetView workbookViewId="0">
      <selection activeCell="I4" sqref="I4"/>
    </sheetView>
  </sheetViews>
  <sheetFormatPr defaultColWidth="9.19921875" defaultRowHeight="14.25" x14ac:dyDescent="0.45"/>
  <cols>
    <col min="1" max="1" width="19.6640625" style="4" bestFit="1" customWidth="1"/>
    <col min="2" max="2" width="18.9296875" style="4" customWidth="1"/>
    <col min="3" max="3" width="15.59765625" style="4" customWidth="1"/>
    <col min="4" max="4" width="15.265625" style="4" bestFit="1" customWidth="1"/>
    <col min="5" max="5" width="15" style="5" bestFit="1" customWidth="1"/>
    <col min="6" max="6" width="12.265625" style="4" bestFit="1" customWidth="1"/>
    <col min="7" max="7" width="16.265625" style="4" bestFit="1" customWidth="1"/>
    <col min="8" max="8" width="12.59765625" style="4" bestFit="1" customWidth="1"/>
    <col min="9" max="9" width="19.33203125" style="4" bestFit="1" customWidth="1"/>
    <col min="10" max="16384" width="9.19921875" style="6"/>
  </cols>
  <sheetData>
    <row r="1" spans="1:9" s="3" customFormat="1" x14ac:dyDescent="0.45">
      <c r="A1" s="1" t="s">
        <v>16</v>
      </c>
      <c r="B1" s="1" t="s">
        <v>17</v>
      </c>
      <c r="C1" s="1" t="s">
        <v>18</v>
      </c>
      <c r="D1" s="1" t="s">
        <v>19</v>
      </c>
      <c r="E1" s="2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ht="42.75" x14ac:dyDescent="0.45">
      <c r="A2" s="4">
        <v>20302339</v>
      </c>
      <c r="B2" s="4" t="s">
        <v>25</v>
      </c>
      <c r="C2" s="4" t="s">
        <v>26</v>
      </c>
      <c r="D2" s="4">
        <v>9820165618</v>
      </c>
      <c r="E2" s="5">
        <v>41641</v>
      </c>
      <c r="F2" s="4" t="s">
        <v>27</v>
      </c>
      <c r="G2" s="4" t="s">
        <v>28</v>
      </c>
      <c r="H2" s="4" t="s">
        <v>29</v>
      </c>
      <c r="I2" s="4" t="s">
        <v>30</v>
      </c>
    </row>
    <row r="3" spans="1:9" ht="42.75" x14ac:dyDescent="0.45">
      <c r="A3" s="4">
        <v>20359547</v>
      </c>
      <c r="B3" s="4" t="s">
        <v>31</v>
      </c>
      <c r="C3" s="4" t="s">
        <v>32</v>
      </c>
      <c r="D3" s="4">
        <v>9819329204</v>
      </c>
      <c r="E3" s="5">
        <v>41803</v>
      </c>
      <c r="F3" s="4" t="s">
        <v>33</v>
      </c>
      <c r="G3" s="4" t="s">
        <v>33</v>
      </c>
      <c r="H3" s="4" t="s">
        <v>34</v>
      </c>
      <c r="I3" s="4" t="s">
        <v>35</v>
      </c>
    </row>
    <row r="4" spans="1:9" ht="42.75" x14ac:dyDescent="0.45">
      <c r="A4" s="4">
        <v>20359728</v>
      </c>
      <c r="B4" s="4" t="s">
        <v>36</v>
      </c>
      <c r="C4" s="4" t="s">
        <v>37</v>
      </c>
      <c r="D4" s="4">
        <v>9167180453</v>
      </c>
      <c r="E4" s="5">
        <v>41611</v>
      </c>
      <c r="F4" s="4" t="s">
        <v>38</v>
      </c>
      <c r="G4" s="4" t="s">
        <v>38</v>
      </c>
      <c r="H4" s="4" t="s">
        <v>34</v>
      </c>
      <c r="I4" s="4" t="s">
        <v>35</v>
      </c>
    </row>
    <row r="5" spans="1:9" ht="42.75" x14ac:dyDescent="0.45">
      <c r="A5" s="4">
        <v>20392416</v>
      </c>
      <c r="B5" s="4" t="s">
        <v>39</v>
      </c>
      <c r="C5" s="4" t="s">
        <v>40</v>
      </c>
      <c r="D5" s="4">
        <v>8850330905</v>
      </c>
      <c r="E5" s="5">
        <v>44837</v>
      </c>
      <c r="F5" s="4" t="s">
        <v>33</v>
      </c>
      <c r="G5" s="4" t="s">
        <v>41</v>
      </c>
      <c r="H5" s="4" t="s">
        <v>42</v>
      </c>
      <c r="I5" s="4" t="s">
        <v>31</v>
      </c>
    </row>
    <row r="6" spans="1:9" ht="42.75" x14ac:dyDescent="0.45">
      <c r="A6" s="4">
        <v>20437027</v>
      </c>
      <c r="B6" s="4" t="s">
        <v>43</v>
      </c>
      <c r="C6" s="4" t="s">
        <v>44</v>
      </c>
      <c r="D6" s="4">
        <v>66082084</v>
      </c>
      <c r="E6" s="5">
        <v>45170</v>
      </c>
      <c r="F6" s="4" t="s">
        <v>33</v>
      </c>
      <c r="G6" s="4" t="s">
        <v>33</v>
      </c>
      <c r="H6" s="4" t="s">
        <v>45</v>
      </c>
      <c r="I6" s="4" t="s">
        <v>31</v>
      </c>
    </row>
    <row r="7" spans="1:9" ht="28.5" x14ac:dyDescent="0.45">
      <c r="A7" s="4">
        <v>30300076</v>
      </c>
      <c r="B7" s="4" t="s">
        <v>46</v>
      </c>
      <c r="C7" s="4" t="s">
        <v>47</v>
      </c>
      <c r="D7" s="4">
        <v>7021128902</v>
      </c>
      <c r="E7" s="5">
        <v>42461</v>
      </c>
      <c r="F7" s="4" t="s">
        <v>48</v>
      </c>
      <c r="G7" s="4" t="s">
        <v>49</v>
      </c>
      <c r="H7" s="4" t="s">
        <v>50</v>
      </c>
      <c r="I7" s="4" t="s">
        <v>51</v>
      </c>
    </row>
    <row r="8" spans="1:9" ht="42.75" x14ac:dyDescent="0.45">
      <c r="A8" s="4">
        <v>30300286</v>
      </c>
      <c r="B8" s="4" t="s">
        <v>52</v>
      </c>
      <c r="C8" s="4" t="s">
        <v>53</v>
      </c>
      <c r="D8" s="4">
        <v>9820358942</v>
      </c>
      <c r="E8" s="5">
        <v>45146</v>
      </c>
      <c r="F8" s="4" t="s">
        <v>54</v>
      </c>
      <c r="G8" s="4" t="s">
        <v>55</v>
      </c>
      <c r="H8" s="4" t="s">
        <v>56</v>
      </c>
      <c r="I8" s="4" t="s">
        <v>57</v>
      </c>
    </row>
    <row r="9" spans="1:9" ht="42.75" x14ac:dyDescent="0.45">
      <c r="A9" s="4">
        <v>30301850</v>
      </c>
      <c r="B9" s="4" t="s">
        <v>58</v>
      </c>
      <c r="C9" s="4" t="s">
        <v>59</v>
      </c>
      <c r="D9" s="4">
        <v>9323904882</v>
      </c>
      <c r="E9" s="5">
        <v>44851</v>
      </c>
      <c r="F9" s="4" t="s">
        <v>48</v>
      </c>
      <c r="G9" s="4" t="s">
        <v>60</v>
      </c>
      <c r="H9" s="4" t="s">
        <v>61</v>
      </c>
      <c r="I9" s="4" t="s">
        <v>62</v>
      </c>
    </row>
    <row r="10" spans="1:9" ht="28.5" x14ac:dyDescent="0.45">
      <c r="A10" s="4">
        <v>30302523</v>
      </c>
      <c r="B10" s="4" t="s">
        <v>62</v>
      </c>
      <c r="C10" s="4" t="s">
        <v>63</v>
      </c>
      <c r="D10" s="4">
        <v>9769820653</v>
      </c>
      <c r="E10" s="5">
        <v>42006</v>
      </c>
      <c r="F10" s="4" t="s">
        <v>48</v>
      </c>
      <c r="G10" s="4" t="s">
        <v>60</v>
      </c>
      <c r="H10" s="4" t="s">
        <v>64</v>
      </c>
      <c r="I10" s="4" t="s">
        <v>65</v>
      </c>
    </row>
    <row r="11" spans="1:9" ht="28.5" x14ac:dyDescent="0.45">
      <c r="A11" s="4">
        <v>30303270</v>
      </c>
      <c r="B11" s="4" t="s">
        <v>66</v>
      </c>
      <c r="C11" s="4" t="s">
        <v>67</v>
      </c>
      <c r="D11" s="4">
        <v>9224348685</v>
      </c>
      <c r="E11" s="5">
        <v>44480</v>
      </c>
      <c r="F11" s="4" t="s">
        <v>68</v>
      </c>
      <c r="G11" s="4" t="s">
        <v>69</v>
      </c>
      <c r="H11" s="4" t="s">
        <v>70</v>
      </c>
      <c r="I11" s="4" t="s">
        <v>51</v>
      </c>
    </row>
    <row r="12" spans="1:9" ht="28.5" x14ac:dyDescent="0.45">
      <c r="A12" s="4">
        <v>30305560</v>
      </c>
      <c r="B12" s="4" t="s">
        <v>71</v>
      </c>
      <c r="C12" s="4" t="s">
        <v>72</v>
      </c>
      <c r="D12" s="4">
        <v>7738648283</v>
      </c>
      <c r="E12" s="5">
        <v>41792</v>
      </c>
      <c r="F12" s="4" t="s">
        <v>73</v>
      </c>
      <c r="G12" s="4" t="s">
        <v>74</v>
      </c>
      <c r="H12" s="4" t="s">
        <v>75</v>
      </c>
      <c r="I12" s="4" t="s">
        <v>76</v>
      </c>
    </row>
    <row r="13" spans="1:9" ht="42.75" x14ac:dyDescent="0.45">
      <c r="A13" s="4">
        <v>30305922</v>
      </c>
      <c r="B13" s="4" t="s">
        <v>77</v>
      </c>
      <c r="C13" s="4" t="s">
        <v>78</v>
      </c>
      <c r="D13" s="4">
        <v>7208429798</v>
      </c>
      <c r="E13" s="5">
        <v>41609</v>
      </c>
      <c r="F13" s="4" t="s">
        <v>27</v>
      </c>
      <c r="G13" s="4" t="s">
        <v>28</v>
      </c>
      <c r="H13" s="4" t="s">
        <v>79</v>
      </c>
      <c r="I13" s="4" t="s">
        <v>35</v>
      </c>
    </row>
    <row r="14" spans="1:9" ht="28.5" x14ac:dyDescent="0.45">
      <c r="A14" s="4">
        <v>30308055</v>
      </c>
      <c r="B14" s="4" t="s">
        <v>80</v>
      </c>
      <c r="C14" s="4" t="s">
        <v>81</v>
      </c>
      <c r="D14" s="4">
        <v>9833410048</v>
      </c>
      <c r="E14" s="5">
        <v>44166</v>
      </c>
      <c r="F14" s="4" t="s">
        <v>82</v>
      </c>
      <c r="G14" s="4" t="s">
        <v>83</v>
      </c>
      <c r="H14" s="4" t="s">
        <v>84</v>
      </c>
      <c r="I14" s="4" t="s">
        <v>85</v>
      </c>
    </row>
    <row r="15" spans="1:9" ht="42.75" x14ac:dyDescent="0.45">
      <c r="A15" s="4">
        <v>30308984</v>
      </c>
      <c r="B15" s="4" t="s">
        <v>86</v>
      </c>
      <c r="C15" s="4" t="s">
        <v>87</v>
      </c>
      <c r="D15" s="4">
        <v>9699967644</v>
      </c>
      <c r="E15" s="5">
        <v>45155</v>
      </c>
      <c r="F15" s="4" t="s">
        <v>48</v>
      </c>
      <c r="G15" s="4" t="s">
        <v>60</v>
      </c>
      <c r="H15" s="4" t="s">
        <v>61</v>
      </c>
      <c r="I15" s="4" t="s">
        <v>62</v>
      </c>
    </row>
    <row r="16" spans="1:9" ht="42.75" x14ac:dyDescent="0.45">
      <c r="A16" s="4">
        <v>30309141</v>
      </c>
      <c r="B16" s="4" t="s">
        <v>88</v>
      </c>
      <c r="C16" s="4" t="s">
        <v>89</v>
      </c>
      <c r="D16" s="4">
        <v>9892207852</v>
      </c>
      <c r="E16" s="5">
        <v>45264</v>
      </c>
      <c r="F16" s="4" t="s">
        <v>48</v>
      </c>
      <c r="G16" s="4" t="s">
        <v>90</v>
      </c>
      <c r="H16" s="4" t="s">
        <v>91</v>
      </c>
      <c r="I16" s="4" t="s">
        <v>65</v>
      </c>
    </row>
    <row r="17" spans="1:9" ht="28.5" x14ac:dyDescent="0.45">
      <c r="A17" s="4">
        <v>30309207</v>
      </c>
      <c r="B17" s="4" t="s">
        <v>92</v>
      </c>
      <c r="C17" s="4" t="s">
        <v>93</v>
      </c>
      <c r="D17" s="4">
        <v>9967093493</v>
      </c>
      <c r="E17" s="5">
        <v>43656</v>
      </c>
      <c r="F17" s="4" t="s">
        <v>94</v>
      </c>
      <c r="G17" s="4" t="s">
        <v>95</v>
      </c>
      <c r="H17" s="4" t="s">
        <v>96</v>
      </c>
      <c r="I17" s="4" t="s">
        <v>97</v>
      </c>
    </row>
    <row r="18" spans="1:9" ht="28.5" x14ac:dyDescent="0.45">
      <c r="A18" s="4">
        <v>30309650</v>
      </c>
      <c r="B18" s="4" t="s">
        <v>98</v>
      </c>
      <c r="C18" s="4" t="s">
        <v>99</v>
      </c>
      <c r="D18" s="4">
        <v>9152530553</v>
      </c>
      <c r="E18" s="5">
        <v>45236</v>
      </c>
      <c r="F18" s="4" t="s">
        <v>73</v>
      </c>
      <c r="G18" s="4" t="s">
        <v>73</v>
      </c>
      <c r="H18" s="4" t="s">
        <v>100</v>
      </c>
      <c r="I18" s="4" t="s">
        <v>76</v>
      </c>
    </row>
    <row r="19" spans="1:9" ht="28.5" x14ac:dyDescent="0.45">
      <c r="A19" s="4">
        <v>30309722</v>
      </c>
      <c r="B19" s="4" t="s">
        <v>101</v>
      </c>
      <c r="C19" s="4" t="s">
        <v>102</v>
      </c>
      <c r="D19" s="4">
        <v>9819119515</v>
      </c>
      <c r="E19" s="5">
        <v>45642</v>
      </c>
      <c r="F19" s="4" t="s">
        <v>82</v>
      </c>
      <c r="G19" s="4" t="s">
        <v>83</v>
      </c>
      <c r="H19" s="4" t="s">
        <v>103</v>
      </c>
      <c r="I19" s="4" t="s">
        <v>104</v>
      </c>
    </row>
    <row r="20" spans="1:9" ht="28.5" x14ac:dyDescent="0.45">
      <c r="A20" s="4">
        <v>30310478</v>
      </c>
      <c r="B20" s="4" t="s">
        <v>105</v>
      </c>
      <c r="C20" s="4" t="s">
        <v>106</v>
      </c>
      <c r="D20" s="4">
        <v>9987507610</v>
      </c>
      <c r="E20" s="5">
        <v>44767</v>
      </c>
      <c r="F20" s="4" t="s">
        <v>54</v>
      </c>
      <c r="G20" s="4" t="s">
        <v>107</v>
      </c>
      <c r="H20" s="4" t="s">
        <v>108</v>
      </c>
      <c r="I20" s="4" t="s">
        <v>57</v>
      </c>
    </row>
    <row r="21" spans="1:9" ht="42.75" x14ac:dyDescent="0.45">
      <c r="A21" s="4">
        <v>30310745</v>
      </c>
      <c r="B21" s="4" t="s">
        <v>109</v>
      </c>
      <c r="C21" s="4" t="s">
        <v>110</v>
      </c>
      <c r="D21" s="4">
        <v>9820660089</v>
      </c>
      <c r="E21" s="5">
        <v>45642</v>
      </c>
      <c r="F21" s="4" t="s">
        <v>48</v>
      </c>
      <c r="G21" s="4" t="s">
        <v>60</v>
      </c>
      <c r="H21" s="4" t="s">
        <v>111</v>
      </c>
      <c r="I21" s="4" t="s">
        <v>112</v>
      </c>
    </row>
    <row r="22" spans="1:9" ht="42.75" x14ac:dyDescent="0.45">
      <c r="A22" s="4">
        <v>30311738</v>
      </c>
      <c r="B22" s="4" t="s">
        <v>112</v>
      </c>
      <c r="C22" s="4" t="s">
        <v>113</v>
      </c>
      <c r="D22" s="4">
        <v>9773849452</v>
      </c>
      <c r="E22" s="5">
        <v>41852</v>
      </c>
      <c r="F22" s="4" t="s">
        <v>48</v>
      </c>
      <c r="G22" s="4" t="s">
        <v>60</v>
      </c>
      <c r="H22" s="4" t="s">
        <v>64</v>
      </c>
      <c r="I22" s="4" t="s">
        <v>65</v>
      </c>
    </row>
    <row r="23" spans="1:9" ht="42.75" x14ac:dyDescent="0.45">
      <c r="A23" s="4">
        <v>30312726</v>
      </c>
      <c r="B23" s="4" t="s">
        <v>114</v>
      </c>
      <c r="C23" s="4" t="s">
        <v>115</v>
      </c>
      <c r="D23" s="4">
        <v>9820503352</v>
      </c>
      <c r="E23" s="5">
        <v>43868</v>
      </c>
      <c r="F23" s="4" t="s">
        <v>48</v>
      </c>
      <c r="G23" s="4" t="s">
        <v>60</v>
      </c>
      <c r="H23" s="4" t="s">
        <v>61</v>
      </c>
      <c r="I23" s="4" t="s">
        <v>112</v>
      </c>
    </row>
    <row r="24" spans="1:9" ht="42.75" x14ac:dyDescent="0.45">
      <c r="A24" s="4">
        <v>30312799</v>
      </c>
      <c r="B24" s="4" t="s">
        <v>116</v>
      </c>
      <c r="C24" s="4" t="s">
        <v>117</v>
      </c>
      <c r="D24" s="4">
        <v>9586690398</v>
      </c>
      <c r="E24" s="5">
        <v>43738</v>
      </c>
      <c r="F24" s="4" t="s">
        <v>33</v>
      </c>
      <c r="G24" s="4" t="s">
        <v>118</v>
      </c>
      <c r="H24" s="4" t="s">
        <v>79</v>
      </c>
      <c r="I24" s="4" t="s">
        <v>35</v>
      </c>
    </row>
    <row r="25" spans="1:9" ht="42.75" x14ac:dyDescent="0.45">
      <c r="A25" s="4">
        <v>30313556</v>
      </c>
      <c r="B25" s="4" t="s">
        <v>119</v>
      </c>
      <c r="C25" s="4" t="s">
        <v>120</v>
      </c>
      <c r="D25" s="4">
        <v>7021854636</v>
      </c>
      <c r="E25" s="5">
        <v>45461</v>
      </c>
      <c r="F25" s="4" t="s">
        <v>54</v>
      </c>
      <c r="G25" s="4" t="s">
        <v>121</v>
      </c>
      <c r="H25" s="4" t="s">
        <v>122</v>
      </c>
      <c r="I25" s="4" t="s">
        <v>57</v>
      </c>
    </row>
    <row r="26" spans="1:9" ht="28.5" x14ac:dyDescent="0.45">
      <c r="A26" s="4">
        <v>30315534</v>
      </c>
      <c r="B26" s="4" t="s">
        <v>123</v>
      </c>
      <c r="C26" s="4" t="s">
        <v>124</v>
      </c>
      <c r="D26" s="4">
        <v>7045464760</v>
      </c>
      <c r="E26" s="5">
        <v>45047</v>
      </c>
      <c r="F26" s="4" t="s">
        <v>48</v>
      </c>
      <c r="G26" s="4" t="s">
        <v>60</v>
      </c>
      <c r="H26" s="4" t="s">
        <v>125</v>
      </c>
      <c r="I26" s="4" t="s">
        <v>65</v>
      </c>
    </row>
    <row r="27" spans="1:9" ht="28.5" x14ac:dyDescent="0.45">
      <c r="A27" s="4">
        <v>30315601</v>
      </c>
      <c r="B27" s="4" t="s">
        <v>126</v>
      </c>
      <c r="C27" s="4" t="s">
        <v>127</v>
      </c>
      <c r="D27" s="4">
        <v>9987504552</v>
      </c>
      <c r="E27" s="5">
        <v>45544</v>
      </c>
      <c r="F27" s="4" t="s">
        <v>128</v>
      </c>
      <c r="G27" s="4" t="s">
        <v>129</v>
      </c>
      <c r="H27" s="4" t="s">
        <v>130</v>
      </c>
      <c r="I27" s="4" t="s">
        <v>131</v>
      </c>
    </row>
    <row r="28" spans="1:9" ht="42.75" x14ac:dyDescent="0.45">
      <c r="A28" s="4">
        <v>30315789</v>
      </c>
      <c r="B28" s="4" t="s">
        <v>132</v>
      </c>
      <c r="C28" s="4" t="s">
        <v>133</v>
      </c>
      <c r="D28" s="4">
        <v>9820561747</v>
      </c>
      <c r="E28" s="5">
        <v>45334</v>
      </c>
      <c r="F28" s="4" t="s">
        <v>94</v>
      </c>
      <c r="G28" s="4" t="s">
        <v>134</v>
      </c>
      <c r="H28" s="4" t="s">
        <v>135</v>
      </c>
      <c r="I28" s="4" t="s">
        <v>97</v>
      </c>
    </row>
    <row r="29" spans="1:9" ht="42.75" x14ac:dyDescent="0.45">
      <c r="A29" s="4">
        <v>30320886</v>
      </c>
      <c r="B29" s="4" t="s">
        <v>136</v>
      </c>
      <c r="C29" s="4" t="s">
        <v>137</v>
      </c>
      <c r="D29" s="4">
        <v>9967678382</v>
      </c>
      <c r="E29" s="5">
        <v>45566</v>
      </c>
      <c r="F29" s="4" t="s">
        <v>27</v>
      </c>
      <c r="G29" s="4" t="s">
        <v>27</v>
      </c>
      <c r="H29" s="4" t="s">
        <v>138</v>
      </c>
      <c r="I29" s="4" t="s">
        <v>139</v>
      </c>
    </row>
    <row r="30" spans="1:9" ht="28.5" x14ac:dyDescent="0.45">
      <c r="A30" s="4">
        <v>30324275</v>
      </c>
      <c r="B30" s="4" t="s">
        <v>140</v>
      </c>
      <c r="C30" s="4" t="s">
        <v>141</v>
      </c>
      <c r="D30" s="4">
        <v>9820499981</v>
      </c>
      <c r="E30" s="5">
        <v>44172</v>
      </c>
      <c r="F30" s="4" t="s">
        <v>54</v>
      </c>
      <c r="G30" s="4" t="s">
        <v>142</v>
      </c>
      <c r="H30" s="4" t="s">
        <v>143</v>
      </c>
      <c r="I30" s="4" t="s">
        <v>57</v>
      </c>
    </row>
    <row r="31" spans="1:9" ht="42.75" x14ac:dyDescent="0.45">
      <c r="A31" s="4">
        <v>30324511</v>
      </c>
      <c r="B31" s="4" t="s">
        <v>144</v>
      </c>
      <c r="C31" s="4" t="s">
        <v>145</v>
      </c>
      <c r="D31" s="4">
        <v>9699687810</v>
      </c>
      <c r="E31" s="5">
        <v>44986</v>
      </c>
      <c r="F31" s="4" t="s">
        <v>54</v>
      </c>
      <c r="G31" s="4" t="s">
        <v>146</v>
      </c>
      <c r="H31" s="4" t="s">
        <v>147</v>
      </c>
      <c r="I31" s="4" t="s">
        <v>57</v>
      </c>
    </row>
    <row r="32" spans="1:9" ht="28.5" x14ac:dyDescent="0.45">
      <c r="A32" s="4">
        <v>30325507</v>
      </c>
      <c r="B32" s="4" t="s">
        <v>97</v>
      </c>
      <c r="C32" s="4" t="s">
        <v>148</v>
      </c>
      <c r="D32" s="4">
        <v>7738978687</v>
      </c>
      <c r="E32" s="5">
        <v>45061</v>
      </c>
      <c r="F32" s="4" t="s">
        <v>94</v>
      </c>
      <c r="G32" s="4" t="s">
        <v>149</v>
      </c>
      <c r="H32" s="4" t="s">
        <v>150</v>
      </c>
      <c r="I32" s="4" t="s">
        <v>76</v>
      </c>
    </row>
    <row r="33" spans="1:9" ht="42.75" x14ac:dyDescent="0.45">
      <c r="A33" s="4">
        <v>30325629</v>
      </c>
      <c r="B33" s="4" t="s">
        <v>151</v>
      </c>
      <c r="C33" s="4" t="s">
        <v>152</v>
      </c>
      <c r="D33" s="4">
        <v>8850668619</v>
      </c>
      <c r="E33" s="5">
        <v>45293</v>
      </c>
      <c r="F33" s="4" t="s">
        <v>48</v>
      </c>
      <c r="G33" s="4" t="s">
        <v>60</v>
      </c>
      <c r="H33" s="4" t="s">
        <v>111</v>
      </c>
      <c r="I33" s="4" t="s">
        <v>153</v>
      </c>
    </row>
    <row r="34" spans="1:9" ht="42.75" x14ac:dyDescent="0.45">
      <c r="A34" s="4">
        <v>30326274</v>
      </c>
      <c r="B34" s="4" t="s">
        <v>154</v>
      </c>
      <c r="C34" s="4" t="s">
        <v>155</v>
      </c>
      <c r="D34" s="4">
        <v>9004111052</v>
      </c>
      <c r="E34" s="5">
        <v>45278</v>
      </c>
      <c r="F34" s="4" t="s">
        <v>48</v>
      </c>
      <c r="G34" s="4" t="s">
        <v>60</v>
      </c>
      <c r="H34" s="4" t="s">
        <v>61</v>
      </c>
      <c r="I34" s="4" t="s">
        <v>156</v>
      </c>
    </row>
    <row r="35" spans="1:9" ht="28.5" x14ac:dyDescent="0.45">
      <c r="A35" s="4">
        <v>30327878</v>
      </c>
      <c r="B35" s="4" t="s">
        <v>157</v>
      </c>
      <c r="C35" s="4" t="s">
        <v>158</v>
      </c>
      <c r="D35" s="4">
        <v>9870926139</v>
      </c>
      <c r="E35" s="5">
        <v>41644</v>
      </c>
      <c r="F35" s="4" t="s">
        <v>82</v>
      </c>
      <c r="G35" s="4" t="s">
        <v>83</v>
      </c>
      <c r="H35" s="4" t="s">
        <v>103</v>
      </c>
      <c r="I35" s="4" t="s">
        <v>85</v>
      </c>
    </row>
    <row r="36" spans="1:9" ht="42.75" x14ac:dyDescent="0.45">
      <c r="A36" s="4">
        <v>30327911</v>
      </c>
      <c r="B36" s="4" t="s">
        <v>159</v>
      </c>
      <c r="C36" s="4" t="s">
        <v>160</v>
      </c>
      <c r="D36" s="4">
        <v>8082432252</v>
      </c>
      <c r="E36" s="5">
        <v>45649</v>
      </c>
      <c r="F36" s="4" t="s">
        <v>161</v>
      </c>
      <c r="G36" s="4" t="s">
        <v>162</v>
      </c>
      <c r="H36" s="4" t="s">
        <v>163</v>
      </c>
      <c r="I36" s="4" t="s">
        <v>164</v>
      </c>
    </row>
    <row r="37" spans="1:9" ht="28.5" x14ac:dyDescent="0.45">
      <c r="A37" s="4">
        <v>30328204</v>
      </c>
      <c r="B37" s="4" t="s">
        <v>164</v>
      </c>
      <c r="C37" s="4" t="s">
        <v>165</v>
      </c>
      <c r="D37" s="4">
        <v>9029507879</v>
      </c>
      <c r="E37" s="5">
        <v>41730</v>
      </c>
      <c r="F37" s="4" t="s">
        <v>161</v>
      </c>
      <c r="G37" s="4" t="s">
        <v>162</v>
      </c>
      <c r="H37" s="4" t="s">
        <v>166</v>
      </c>
      <c r="I37" s="4" t="s">
        <v>36</v>
      </c>
    </row>
    <row r="38" spans="1:9" ht="42.75" x14ac:dyDescent="0.45">
      <c r="A38" s="4">
        <v>30335323</v>
      </c>
      <c r="B38" s="4" t="s">
        <v>167</v>
      </c>
      <c r="C38" s="4" t="s">
        <v>168</v>
      </c>
      <c r="D38" s="4">
        <v>8976564504</v>
      </c>
      <c r="E38" s="5">
        <v>41852</v>
      </c>
      <c r="F38" s="4" t="s">
        <v>27</v>
      </c>
      <c r="G38" s="4" t="s">
        <v>28</v>
      </c>
      <c r="H38" s="4" t="s">
        <v>169</v>
      </c>
      <c r="I38" s="4" t="s">
        <v>139</v>
      </c>
    </row>
    <row r="39" spans="1:9" ht="42.75" x14ac:dyDescent="0.45">
      <c r="A39" s="4">
        <v>30335351</v>
      </c>
      <c r="B39" s="4" t="s">
        <v>170</v>
      </c>
      <c r="C39" s="4" t="s">
        <v>171</v>
      </c>
      <c r="D39" s="4">
        <v>7977570820</v>
      </c>
      <c r="E39" s="5">
        <v>45369</v>
      </c>
      <c r="F39" s="4" t="s">
        <v>48</v>
      </c>
      <c r="G39" s="4" t="s">
        <v>172</v>
      </c>
      <c r="H39" s="4" t="s">
        <v>173</v>
      </c>
      <c r="I39" s="4" t="s">
        <v>174</v>
      </c>
    </row>
    <row r="40" spans="1:9" ht="28.5" x14ac:dyDescent="0.45">
      <c r="A40" s="4">
        <v>30335640</v>
      </c>
      <c r="B40" s="4" t="s">
        <v>175</v>
      </c>
      <c r="C40" s="4" t="s">
        <v>176</v>
      </c>
      <c r="D40" s="4">
        <v>9833835152</v>
      </c>
      <c r="E40" s="5">
        <v>42007</v>
      </c>
      <c r="F40" s="4" t="s">
        <v>94</v>
      </c>
      <c r="G40" s="4" t="s">
        <v>149</v>
      </c>
      <c r="H40" s="4" t="s">
        <v>177</v>
      </c>
      <c r="I40" s="4" t="s">
        <v>97</v>
      </c>
    </row>
    <row r="41" spans="1:9" ht="28.5" x14ac:dyDescent="0.45">
      <c r="A41" s="4">
        <v>30335694</v>
      </c>
      <c r="B41" s="4" t="s">
        <v>178</v>
      </c>
      <c r="C41" s="4" t="s">
        <v>179</v>
      </c>
      <c r="D41" s="4">
        <v>9969111150</v>
      </c>
      <c r="E41" s="5">
        <v>45250</v>
      </c>
      <c r="F41" s="4" t="s">
        <v>180</v>
      </c>
      <c r="G41" s="4" t="s">
        <v>180</v>
      </c>
      <c r="H41" s="4" t="s">
        <v>177</v>
      </c>
      <c r="I41" s="4" t="s">
        <v>181</v>
      </c>
    </row>
    <row r="42" spans="1:9" ht="28.5" x14ac:dyDescent="0.45">
      <c r="A42" s="4">
        <v>30336777</v>
      </c>
      <c r="B42" s="4" t="s">
        <v>153</v>
      </c>
      <c r="C42" s="4" t="s">
        <v>182</v>
      </c>
      <c r="D42" s="4">
        <v>7977483558</v>
      </c>
      <c r="E42" s="5">
        <v>41671</v>
      </c>
      <c r="F42" s="4" t="s">
        <v>48</v>
      </c>
      <c r="G42" s="4" t="s">
        <v>60</v>
      </c>
      <c r="H42" s="4" t="s">
        <v>64</v>
      </c>
      <c r="I42" s="4" t="s">
        <v>65</v>
      </c>
    </row>
    <row r="43" spans="1:9" ht="42.75" x14ac:dyDescent="0.45">
      <c r="A43" s="4">
        <v>30336864</v>
      </c>
      <c r="B43" s="4" t="s">
        <v>183</v>
      </c>
      <c r="C43" s="4" t="s">
        <v>184</v>
      </c>
      <c r="D43" s="4">
        <v>7700041685</v>
      </c>
      <c r="E43" s="5">
        <v>45586</v>
      </c>
      <c r="F43" s="4" t="s">
        <v>48</v>
      </c>
      <c r="G43" s="4" t="s">
        <v>172</v>
      </c>
      <c r="H43" s="4" t="s">
        <v>173</v>
      </c>
      <c r="I43" s="4" t="s">
        <v>174</v>
      </c>
    </row>
    <row r="44" spans="1:9" ht="42.75" x14ac:dyDescent="0.45">
      <c r="A44" s="4">
        <v>30338707</v>
      </c>
      <c r="B44" s="4" t="s">
        <v>51</v>
      </c>
      <c r="C44" s="4" t="s">
        <v>185</v>
      </c>
      <c r="D44" s="4">
        <v>9638365252</v>
      </c>
      <c r="E44" s="5">
        <v>43261</v>
      </c>
      <c r="F44" s="4" t="s">
        <v>48</v>
      </c>
      <c r="G44" s="4" t="s">
        <v>186</v>
      </c>
      <c r="H44" s="4" t="s">
        <v>34</v>
      </c>
      <c r="I44" s="4" t="s">
        <v>35</v>
      </c>
    </row>
    <row r="45" spans="1:9" ht="42.75" x14ac:dyDescent="0.45">
      <c r="A45" s="4">
        <v>30344502</v>
      </c>
      <c r="B45" s="4" t="s">
        <v>187</v>
      </c>
      <c r="C45" s="4" t="s">
        <v>188</v>
      </c>
      <c r="D45" s="4">
        <v>7509520520</v>
      </c>
      <c r="E45" s="5">
        <v>45689</v>
      </c>
      <c r="F45" s="4" t="s">
        <v>48</v>
      </c>
      <c r="G45" s="4" t="s">
        <v>186</v>
      </c>
      <c r="H45" s="4" t="s">
        <v>189</v>
      </c>
      <c r="I45" s="4" t="s">
        <v>35</v>
      </c>
    </row>
    <row r="46" spans="1:9" ht="42.75" x14ac:dyDescent="0.45">
      <c r="A46" s="4">
        <v>30344771</v>
      </c>
      <c r="B46" s="4" t="s">
        <v>190</v>
      </c>
      <c r="C46" s="4" t="s">
        <v>191</v>
      </c>
      <c r="D46" s="4">
        <v>9137373953</v>
      </c>
      <c r="E46" s="5">
        <v>44593</v>
      </c>
      <c r="F46" s="4" t="s">
        <v>48</v>
      </c>
      <c r="G46" s="4" t="s">
        <v>60</v>
      </c>
      <c r="H46" s="4" t="s">
        <v>111</v>
      </c>
      <c r="I46" s="4" t="s">
        <v>112</v>
      </c>
    </row>
    <row r="47" spans="1:9" ht="42.75" x14ac:dyDescent="0.45">
      <c r="A47" s="4">
        <v>30346324</v>
      </c>
      <c r="B47" s="4" t="s">
        <v>192</v>
      </c>
      <c r="C47" s="4" t="s">
        <v>193</v>
      </c>
      <c r="D47" s="4">
        <v>9601536863</v>
      </c>
      <c r="E47" s="5">
        <v>45566</v>
      </c>
      <c r="F47" s="4" t="s">
        <v>194</v>
      </c>
      <c r="G47" s="4" t="s">
        <v>195</v>
      </c>
      <c r="H47" s="4" t="s">
        <v>196</v>
      </c>
      <c r="I47" s="4" t="s">
        <v>35</v>
      </c>
    </row>
    <row r="48" spans="1:9" ht="28.5" x14ac:dyDescent="0.45">
      <c r="A48" s="4">
        <v>30365742</v>
      </c>
      <c r="B48" s="4" t="s">
        <v>197</v>
      </c>
      <c r="C48" s="4" t="s">
        <v>198</v>
      </c>
      <c r="D48" s="4">
        <v>8999971744</v>
      </c>
      <c r="E48" s="5">
        <v>45502</v>
      </c>
      <c r="F48" s="4" t="s">
        <v>54</v>
      </c>
      <c r="G48" s="4" t="s">
        <v>142</v>
      </c>
      <c r="H48" s="4" t="s">
        <v>130</v>
      </c>
      <c r="I48" s="4" t="s">
        <v>57</v>
      </c>
    </row>
    <row r="49" spans="1:9" ht="42.75" x14ac:dyDescent="0.45">
      <c r="A49" s="4">
        <v>30370361</v>
      </c>
      <c r="B49" s="4" t="s">
        <v>199</v>
      </c>
      <c r="C49" s="4" t="s">
        <v>200</v>
      </c>
      <c r="D49" s="4">
        <v>8454002819</v>
      </c>
      <c r="E49" s="5">
        <v>45184</v>
      </c>
      <c r="F49" s="4" t="s">
        <v>27</v>
      </c>
      <c r="G49" s="4" t="s">
        <v>28</v>
      </c>
      <c r="H49" s="4" t="s">
        <v>201</v>
      </c>
      <c r="I49" s="4" t="s">
        <v>139</v>
      </c>
    </row>
    <row r="50" spans="1:9" ht="42.75" x14ac:dyDescent="0.45">
      <c r="A50" s="4">
        <v>30389017</v>
      </c>
      <c r="B50" s="4" t="s">
        <v>202</v>
      </c>
      <c r="C50" s="4" t="s">
        <v>203</v>
      </c>
      <c r="D50" s="4">
        <v>8286786753</v>
      </c>
      <c r="E50" s="5">
        <v>42743</v>
      </c>
      <c r="F50" s="4" t="s">
        <v>48</v>
      </c>
      <c r="G50" s="4" t="s">
        <v>60</v>
      </c>
      <c r="H50" s="4" t="s">
        <v>61</v>
      </c>
      <c r="I50" s="4" t="s">
        <v>156</v>
      </c>
    </row>
    <row r="51" spans="1:9" ht="42.75" x14ac:dyDescent="0.45">
      <c r="A51" s="4">
        <v>30389208</v>
      </c>
      <c r="B51" s="4" t="s">
        <v>204</v>
      </c>
      <c r="C51" s="4" t="s">
        <v>205</v>
      </c>
      <c r="D51" s="4">
        <v>8369144587</v>
      </c>
      <c r="E51" s="5">
        <v>44044</v>
      </c>
      <c r="F51" s="4" t="s">
        <v>48</v>
      </c>
      <c r="G51" s="4" t="s">
        <v>60</v>
      </c>
      <c r="H51" s="4" t="s">
        <v>111</v>
      </c>
      <c r="I51" s="4" t="s">
        <v>112</v>
      </c>
    </row>
    <row r="52" spans="1:9" ht="28.5" x14ac:dyDescent="0.45">
      <c r="A52" s="4">
        <v>30389209</v>
      </c>
      <c r="B52" s="4" t="s">
        <v>206</v>
      </c>
      <c r="C52" s="4" t="s">
        <v>207</v>
      </c>
      <c r="D52" s="4">
        <v>9821582959</v>
      </c>
      <c r="E52" s="5">
        <v>42072</v>
      </c>
      <c r="F52" s="4" t="s">
        <v>180</v>
      </c>
      <c r="G52" s="4" t="s">
        <v>180</v>
      </c>
      <c r="H52" s="4" t="s">
        <v>169</v>
      </c>
      <c r="I52" s="4" t="s">
        <v>181</v>
      </c>
    </row>
    <row r="53" spans="1:9" ht="28.5" x14ac:dyDescent="0.45">
      <c r="A53" s="4">
        <v>30396006</v>
      </c>
      <c r="B53" s="4" t="s">
        <v>208</v>
      </c>
      <c r="C53" s="4" t="s">
        <v>209</v>
      </c>
      <c r="D53" s="4">
        <v>9950372809</v>
      </c>
      <c r="E53" s="5">
        <v>45413</v>
      </c>
      <c r="F53" s="4" t="s">
        <v>180</v>
      </c>
      <c r="G53" s="4" t="s">
        <v>180</v>
      </c>
      <c r="H53" s="4" t="s">
        <v>79</v>
      </c>
      <c r="I53" s="4" t="s">
        <v>210</v>
      </c>
    </row>
    <row r="54" spans="1:9" ht="57" x14ac:dyDescent="0.45">
      <c r="A54" s="4">
        <v>30396891</v>
      </c>
      <c r="B54" s="4" t="s">
        <v>211</v>
      </c>
      <c r="C54" s="4" t="s">
        <v>212</v>
      </c>
      <c r="D54" s="4">
        <v>561067553</v>
      </c>
      <c r="E54" s="5">
        <v>45537</v>
      </c>
      <c r="F54" s="4" t="s">
        <v>82</v>
      </c>
      <c r="G54" s="4" t="s">
        <v>82</v>
      </c>
      <c r="H54" s="4" t="s">
        <v>213</v>
      </c>
      <c r="I54" s="4" t="s">
        <v>35</v>
      </c>
    </row>
    <row r="55" spans="1:9" ht="42.75" x14ac:dyDescent="0.45">
      <c r="A55" s="4">
        <v>30398878</v>
      </c>
      <c r="B55" s="4" t="s">
        <v>214</v>
      </c>
      <c r="C55" s="4" t="s">
        <v>215</v>
      </c>
      <c r="D55" s="4">
        <v>9892375343</v>
      </c>
      <c r="E55" s="5">
        <v>43724</v>
      </c>
      <c r="F55" s="4" t="s">
        <v>48</v>
      </c>
      <c r="G55" s="4" t="s">
        <v>60</v>
      </c>
      <c r="H55" s="4" t="s">
        <v>111</v>
      </c>
      <c r="I55" s="4" t="s">
        <v>156</v>
      </c>
    </row>
    <row r="56" spans="1:9" ht="28.5" x14ac:dyDescent="0.45">
      <c r="A56" s="4">
        <v>30400918</v>
      </c>
      <c r="B56" s="4" t="s">
        <v>156</v>
      </c>
      <c r="C56" s="4" t="s">
        <v>216</v>
      </c>
      <c r="D56" s="4">
        <v>8080563816</v>
      </c>
      <c r="E56" s="5">
        <v>44866</v>
      </c>
      <c r="F56" s="4" t="s">
        <v>48</v>
      </c>
      <c r="G56" s="4" t="s">
        <v>60</v>
      </c>
      <c r="H56" s="4" t="s">
        <v>64</v>
      </c>
      <c r="I56" s="4" t="s">
        <v>65</v>
      </c>
    </row>
    <row r="57" spans="1:9" ht="28.5" x14ac:dyDescent="0.45">
      <c r="A57" s="4">
        <v>30402337</v>
      </c>
      <c r="B57" s="4" t="s">
        <v>217</v>
      </c>
      <c r="C57" s="4" t="s">
        <v>218</v>
      </c>
      <c r="D57" s="4">
        <v>9967352061</v>
      </c>
      <c r="E57" s="5">
        <v>44805</v>
      </c>
      <c r="F57" s="4" t="s">
        <v>82</v>
      </c>
      <c r="G57" s="4" t="s">
        <v>219</v>
      </c>
      <c r="H57" s="4" t="s">
        <v>220</v>
      </c>
      <c r="I57" s="4" t="s">
        <v>85</v>
      </c>
    </row>
    <row r="58" spans="1:9" ht="42.75" x14ac:dyDescent="0.45">
      <c r="A58" s="4">
        <v>30402342</v>
      </c>
      <c r="B58" s="4" t="s">
        <v>174</v>
      </c>
      <c r="C58" s="4" t="s">
        <v>221</v>
      </c>
      <c r="D58" s="4">
        <v>9819979110</v>
      </c>
      <c r="E58" s="5">
        <v>45509</v>
      </c>
      <c r="F58" s="4" t="s">
        <v>48</v>
      </c>
      <c r="G58" s="4" t="s">
        <v>172</v>
      </c>
      <c r="H58" s="4" t="s">
        <v>222</v>
      </c>
      <c r="I58" s="4" t="s">
        <v>51</v>
      </c>
    </row>
    <row r="59" spans="1:9" ht="42.75" x14ac:dyDescent="0.45">
      <c r="A59" s="4">
        <v>30408309</v>
      </c>
      <c r="B59" s="4" t="s">
        <v>223</v>
      </c>
      <c r="C59" s="4" t="s">
        <v>224</v>
      </c>
      <c r="D59" s="4">
        <v>9664295678</v>
      </c>
      <c r="E59" s="5">
        <v>42378</v>
      </c>
      <c r="F59" s="4" t="s">
        <v>33</v>
      </c>
      <c r="G59" s="4" t="s">
        <v>118</v>
      </c>
      <c r="H59" s="4" t="s">
        <v>225</v>
      </c>
      <c r="I59" s="4" t="s">
        <v>31</v>
      </c>
    </row>
    <row r="60" spans="1:9" ht="42.75" x14ac:dyDescent="0.45">
      <c r="A60" s="4">
        <v>30409873</v>
      </c>
      <c r="B60" s="4" t="s">
        <v>226</v>
      </c>
      <c r="C60" s="4" t="s">
        <v>227</v>
      </c>
      <c r="D60" s="4">
        <v>9664662220</v>
      </c>
      <c r="E60" s="5">
        <v>44732</v>
      </c>
      <c r="F60" s="4" t="s">
        <v>48</v>
      </c>
      <c r="G60" s="4" t="s">
        <v>60</v>
      </c>
      <c r="H60" s="4" t="s">
        <v>61</v>
      </c>
      <c r="I60" s="4" t="s">
        <v>156</v>
      </c>
    </row>
    <row r="61" spans="1:9" ht="28.5" x14ac:dyDescent="0.45">
      <c r="A61" s="4">
        <v>30414064</v>
      </c>
      <c r="B61" s="4" t="s">
        <v>228</v>
      </c>
      <c r="C61" s="4" t="s">
        <v>229</v>
      </c>
      <c r="D61" s="4">
        <v>9076372551</v>
      </c>
      <c r="E61" s="5">
        <v>45551</v>
      </c>
      <c r="F61" s="4" t="s">
        <v>33</v>
      </c>
      <c r="G61" s="4" t="s">
        <v>230</v>
      </c>
      <c r="H61" s="4" t="s">
        <v>130</v>
      </c>
      <c r="I61" s="4" t="s">
        <v>231</v>
      </c>
    </row>
    <row r="62" spans="1:9" ht="28.5" x14ac:dyDescent="0.45">
      <c r="A62" s="4">
        <v>30414645</v>
      </c>
      <c r="B62" s="4" t="s">
        <v>232</v>
      </c>
      <c r="C62" s="4" t="s">
        <v>233</v>
      </c>
      <c r="D62" s="4">
        <v>9867622795</v>
      </c>
      <c r="E62" s="5">
        <v>44826</v>
      </c>
      <c r="F62" s="4" t="s">
        <v>82</v>
      </c>
      <c r="G62" s="4" t="s">
        <v>219</v>
      </c>
      <c r="H62" s="4" t="s">
        <v>234</v>
      </c>
      <c r="I62" s="4" t="s">
        <v>85</v>
      </c>
    </row>
    <row r="63" spans="1:9" ht="28.5" x14ac:dyDescent="0.45">
      <c r="A63" s="4">
        <v>30418354</v>
      </c>
      <c r="B63" s="4" t="s">
        <v>235</v>
      </c>
      <c r="C63" s="4" t="s">
        <v>236</v>
      </c>
      <c r="D63" s="4">
        <v>9890216764</v>
      </c>
      <c r="E63" s="5">
        <v>44816</v>
      </c>
      <c r="F63" s="4" t="s">
        <v>73</v>
      </c>
      <c r="G63" s="4" t="s">
        <v>237</v>
      </c>
      <c r="H63" s="4" t="s">
        <v>130</v>
      </c>
      <c r="I63" s="4" t="s">
        <v>238</v>
      </c>
    </row>
    <row r="64" spans="1:9" ht="42.75" x14ac:dyDescent="0.45">
      <c r="A64" s="4">
        <v>30419444</v>
      </c>
      <c r="B64" s="4" t="s">
        <v>239</v>
      </c>
      <c r="C64" s="4" t="s">
        <v>240</v>
      </c>
      <c r="D64" s="4">
        <v>8000067779</v>
      </c>
      <c r="E64" s="5">
        <v>44927</v>
      </c>
      <c r="F64" s="4" t="s">
        <v>27</v>
      </c>
      <c r="G64" s="4" t="s">
        <v>28</v>
      </c>
      <c r="H64" s="4" t="s">
        <v>50</v>
      </c>
      <c r="I64" s="4" t="s">
        <v>241</v>
      </c>
    </row>
    <row r="65" spans="1:9" ht="28.5" x14ac:dyDescent="0.45">
      <c r="A65" s="4">
        <v>30419446</v>
      </c>
      <c r="B65" s="4" t="s">
        <v>242</v>
      </c>
      <c r="C65" s="4" t="s">
        <v>243</v>
      </c>
      <c r="D65" s="4">
        <v>9768822183</v>
      </c>
      <c r="E65" s="5">
        <v>45103</v>
      </c>
      <c r="F65" s="4" t="s">
        <v>54</v>
      </c>
      <c r="G65" s="4" t="s">
        <v>244</v>
      </c>
      <c r="H65" s="4" t="s">
        <v>245</v>
      </c>
      <c r="I65" s="4" t="s">
        <v>57</v>
      </c>
    </row>
    <row r="66" spans="1:9" ht="42.75" x14ac:dyDescent="0.45">
      <c r="A66" s="4">
        <v>30424343</v>
      </c>
      <c r="B66" s="4" t="s">
        <v>246</v>
      </c>
      <c r="C66" s="4" t="s">
        <v>247</v>
      </c>
      <c r="D66" s="4">
        <v>9737202272</v>
      </c>
      <c r="E66" s="5">
        <v>45341</v>
      </c>
      <c r="F66" s="4" t="s">
        <v>48</v>
      </c>
      <c r="G66" s="4" t="s">
        <v>60</v>
      </c>
      <c r="H66" s="4" t="s">
        <v>111</v>
      </c>
      <c r="I66" s="4" t="s">
        <v>62</v>
      </c>
    </row>
    <row r="67" spans="1:9" ht="42.75" x14ac:dyDescent="0.45">
      <c r="A67" s="4">
        <v>30427391</v>
      </c>
      <c r="B67" s="4" t="s">
        <v>248</v>
      </c>
      <c r="C67" s="4" t="s">
        <v>249</v>
      </c>
      <c r="D67" s="4">
        <v>8866828752</v>
      </c>
      <c r="E67" s="5">
        <v>44046</v>
      </c>
      <c r="F67" s="4" t="s">
        <v>48</v>
      </c>
      <c r="G67" s="4" t="s">
        <v>60</v>
      </c>
      <c r="H67" s="4" t="s">
        <v>61</v>
      </c>
      <c r="I67" s="4" t="s">
        <v>153</v>
      </c>
    </row>
    <row r="68" spans="1:9" ht="42.75" x14ac:dyDescent="0.45">
      <c r="A68" s="4">
        <v>30430614</v>
      </c>
      <c r="B68" s="4" t="s">
        <v>250</v>
      </c>
      <c r="C68" s="4" t="s">
        <v>251</v>
      </c>
      <c r="D68" s="4">
        <v>9602220138</v>
      </c>
      <c r="E68" s="5">
        <v>45608</v>
      </c>
      <c r="F68" s="4" t="s">
        <v>48</v>
      </c>
      <c r="G68" s="4" t="s">
        <v>60</v>
      </c>
      <c r="H68" s="4" t="s">
        <v>111</v>
      </c>
      <c r="I68" s="4" t="s">
        <v>62</v>
      </c>
    </row>
    <row r="69" spans="1:9" ht="42.75" x14ac:dyDescent="0.45">
      <c r="A69" s="4">
        <v>30433693</v>
      </c>
      <c r="B69" s="4" t="s">
        <v>252</v>
      </c>
      <c r="C69" s="4" t="s">
        <v>253</v>
      </c>
      <c r="D69" s="4">
        <v>8080666254</v>
      </c>
      <c r="E69" s="5">
        <v>42736</v>
      </c>
      <c r="F69" s="4" t="s">
        <v>33</v>
      </c>
      <c r="G69" s="4" t="s">
        <v>254</v>
      </c>
      <c r="H69" s="4" t="s">
        <v>255</v>
      </c>
      <c r="I69" s="4" t="s">
        <v>31</v>
      </c>
    </row>
    <row r="70" spans="1:9" ht="28.5" x14ac:dyDescent="0.45">
      <c r="A70" s="4">
        <v>30443308</v>
      </c>
      <c r="B70" s="4" t="s">
        <v>256</v>
      </c>
      <c r="C70" s="4" t="s">
        <v>257</v>
      </c>
      <c r="D70" s="4">
        <v>9920752179</v>
      </c>
      <c r="E70" s="5">
        <v>45509</v>
      </c>
      <c r="F70" s="4" t="s">
        <v>94</v>
      </c>
      <c r="G70" s="4" t="s">
        <v>95</v>
      </c>
      <c r="H70" s="4" t="s">
        <v>96</v>
      </c>
      <c r="I70" s="4" t="s">
        <v>97</v>
      </c>
    </row>
    <row r="71" spans="1:9" ht="42.75" x14ac:dyDescent="0.45">
      <c r="A71" s="4">
        <v>30447828</v>
      </c>
      <c r="B71" s="4" t="s">
        <v>258</v>
      </c>
      <c r="C71" s="4" t="s">
        <v>259</v>
      </c>
      <c r="D71" s="4">
        <v>7021028070</v>
      </c>
      <c r="E71" s="5">
        <v>45523</v>
      </c>
      <c r="F71" s="4" t="s">
        <v>48</v>
      </c>
      <c r="G71" s="4" t="s">
        <v>172</v>
      </c>
      <c r="H71" s="4" t="s">
        <v>173</v>
      </c>
      <c r="I71" s="4" t="s">
        <v>174</v>
      </c>
    </row>
    <row r="72" spans="1:9" ht="42.75" x14ac:dyDescent="0.45">
      <c r="A72" s="4">
        <v>30459013</v>
      </c>
      <c r="B72" s="4" t="s">
        <v>57</v>
      </c>
      <c r="C72" s="4" t="s">
        <v>260</v>
      </c>
      <c r="D72" s="4">
        <v>8454859644</v>
      </c>
      <c r="E72" s="5">
        <v>43760</v>
      </c>
      <c r="F72" s="4" t="s">
        <v>54</v>
      </c>
      <c r="G72" s="4" t="s">
        <v>54</v>
      </c>
      <c r="H72" s="4" t="s">
        <v>261</v>
      </c>
      <c r="I72" s="4" t="s">
        <v>35</v>
      </c>
    </row>
    <row r="73" spans="1:9" ht="42.75" x14ac:dyDescent="0.45">
      <c r="A73" s="4">
        <v>30474521</v>
      </c>
      <c r="B73" s="4" t="s">
        <v>181</v>
      </c>
      <c r="C73" s="4" t="s">
        <v>262</v>
      </c>
      <c r="D73" s="4">
        <v>9920095852</v>
      </c>
      <c r="E73" s="5">
        <v>45286</v>
      </c>
      <c r="F73" s="4" t="s">
        <v>180</v>
      </c>
      <c r="G73" s="4" t="s">
        <v>180</v>
      </c>
      <c r="H73" s="4" t="s">
        <v>263</v>
      </c>
      <c r="I73" s="4" t="s">
        <v>35</v>
      </c>
    </row>
    <row r="74" spans="1:9" ht="28.5" x14ac:dyDescent="0.45">
      <c r="A74" s="4">
        <v>30474669</v>
      </c>
      <c r="B74" s="4" t="s">
        <v>264</v>
      </c>
      <c r="C74" s="4" t="s">
        <v>265</v>
      </c>
      <c r="D74" s="4">
        <v>9664045243</v>
      </c>
      <c r="E74" s="5">
        <v>44287</v>
      </c>
      <c r="F74" s="4" t="s">
        <v>94</v>
      </c>
      <c r="G74" s="4" t="s">
        <v>149</v>
      </c>
      <c r="H74" s="4" t="s">
        <v>266</v>
      </c>
      <c r="I74" s="4" t="s">
        <v>97</v>
      </c>
    </row>
    <row r="75" spans="1:9" ht="42.75" x14ac:dyDescent="0.45">
      <c r="A75" s="4">
        <v>30477683</v>
      </c>
      <c r="B75" s="4" t="s">
        <v>267</v>
      </c>
      <c r="C75" s="4" t="s">
        <v>268</v>
      </c>
      <c r="D75" s="4">
        <v>7000238628</v>
      </c>
      <c r="E75" s="5">
        <v>44235</v>
      </c>
      <c r="F75" s="4" t="s">
        <v>48</v>
      </c>
      <c r="G75" s="4" t="s">
        <v>60</v>
      </c>
      <c r="H75" s="4" t="s">
        <v>61</v>
      </c>
      <c r="I75" s="4" t="s">
        <v>112</v>
      </c>
    </row>
    <row r="76" spans="1:9" ht="28.5" x14ac:dyDescent="0.45">
      <c r="A76" s="4">
        <v>30485755</v>
      </c>
      <c r="B76" s="4" t="s">
        <v>269</v>
      </c>
      <c r="C76" s="4" t="s">
        <v>270</v>
      </c>
      <c r="D76" s="4">
        <v>7067369968</v>
      </c>
      <c r="E76" s="5">
        <v>45413</v>
      </c>
      <c r="F76" s="4" t="s">
        <v>48</v>
      </c>
      <c r="G76" s="4" t="s">
        <v>49</v>
      </c>
      <c r="H76" s="4" t="s">
        <v>79</v>
      </c>
      <c r="I76" s="4" t="s">
        <v>210</v>
      </c>
    </row>
    <row r="77" spans="1:9" ht="28.5" x14ac:dyDescent="0.45">
      <c r="A77" s="4">
        <v>30489321</v>
      </c>
      <c r="B77" s="4" t="s">
        <v>271</v>
      </c>
      <c r="C77" s="4" t="s">
        <v>272</v>
      </c>
      <c r="D77" s="4">
        <v>9870129426</v>
      </c>
      <c r="E77" s="5">
        <v>42376</v>
      </c>
      <c r="F77" s="4" t="s">
        <v>73</v>
      </c>
      <c r="G77" s="4" t="s">
        <v>73</v>
      </c>
      <c r="H77" s="4" t="s">
        <v>273</v>
      </c>
      <c r="I77" s="4" t="s">
        <v>98</v>
      </c>
    </row>
    <row r="78" spans="1:9" ht="42.75" x14ac:dyDescent="0.45">
      <c r="A78" s="4">
        <v>30489953</v>
      </c>
      <c r="B78" s="4" t="s">
        <v>274</v>
      </c>
      <c r="C78" s="4" t="s">
        <v>275</v>
      </c>
      <c r="D78" s="4">
        <v>8469443771</v>
      </c>
      <c r="E78" s="5">
        <v>43462</v>
      </c>
      <c r="F78" s="4" t="s">
        <v>82</v>
      </c>
      <c r="G78" s="4" t="s">
        <v>82</v>
      </c>
      <c r="H78" s="4" t="s">
        <v>79</v>
      </c>
      <c r="I78" s="4" t="s">
        <v>35</v>
      </c>
    </row>
    <row r="79" spans="1:9" ht="28.5" x14ac:dyDescent="0.45">
      <c r="A79" s="4">
        <v>30493604</v>
      </c>
      <c r="B79" s="4" t="s">
        <v>238</v>
      </c>
      <c r="C79" s="4" t="s">
        <v>276</v>
      </c>
      <c r="D79" s="4">
        <v>7567101452</v>
      </c>
      <c r="E79" s="5">
        <v>43634</v>
      </c>
      <c r="F79" s="4" t="s">
        <v>73</v>
      </c>
      <c r="G79" s="4" t="s">
        <v>237</v>
      </c>
      <c r="H79" s="4" t="s">
        <v>79</v>
      </c>
      <c r="I79" s="4" t="s">
        <v>31</v>
      </c>
    </row>
    <row r="80" spans="1:9" ht="42.75" x14ac:dyDescent="0.45">
      <c r="A80" s="4">
        <v>30494014</v>
      </c>
      <c r="B80" s="4" t="s">
        <v>277</v>
      </c>
      <c r="C80" s="4" t="s">
        <v>278</v>
      </c>
      <c r="D80" s="4">
        <v>9664362282</v>
      </c>
      <c r="E80" s="5">
        <v>45078</v>
      </c>
      <c r="F80" s="4" t="s">
        <v>48</v>
      </c>
      <c r="G80" s="4" t="s">
        <v>60</v>
      </c>
      <c r="H80" s="4" t="s">
        <v>111</v>
      </c>
      <c r="I80" s="4" t="s">
        <v>112</v>
      </c>
    </row>
    <row r="81" spans="1:9" ht="42.75" x14ac:dyDescent="0.45">
      <c r="A81" s="4">
        <v>30494431</v>
      </c>
      <c r="B81" s="4" t="s">
        <v>279</v>
      </c>
      <c r="C81" s="4" t="s">
        <v>280</v>
      </c>
      <c r="D81" s="4">
        <v>9664295207</v>
      </c>
      <c r="E81" s="5">
        <v>45509</v>
      </c>
      <c r="F81" s="4" t="s">
        <v>48</v>
      </c>
      <c r="G81" s="4" t="s">
        <v>60</v>
      </c>
      <c r="H81" s="4" t="s">
        <v>61</v>
      </c>
      <c r="I81" s="4" t="s">
        <v>62</v>
      </c>
    </row>
    <row r="82" spans="1:9" ht="42.75" x14ac:dyDescent="0.45">
      <c r="A82" s="4">
        <v>30501169</v>
      </c>
      <c r="B82" s="4" t="s">
        <v>281</v>
      </c>
      <c r="C82" s="4" t="s">
        <v>282</v>
      </c>
      <c r="D82" s="4">
        <v>8140912881</v>
      </c>
      <c r="E82" s="5">
        <v>44593</v>
      </c>
      <c r="F82" s="4" t="s">
        <v>48</v>
      </c>
      <c r="G82" s="4" t="s">
        <v>60</v>
      </c>
      <c r="H82" s="4" t="s">
        <v>111</v>
      </c>
      <c r="I82" s="4" t="s">
        <v>153</v>
      </c>
    </row>
    <row r="83" spans="1:9" ht="42.75" x14ac:dyDescent="0.45">
      <c r="A83" s="4">
        <v>30600354</v>
      </c>
      <c r="B83" s="4" t="s">
        <v>283</v>
      </c>
      <c r="C83" s="4" t="s">
        <v>284</v>
      </c>
      <c r="D83" s="4">
        <v>7045253998</v>
      </c>
      <c r="E83" s="5">
        <v>45418</v>
      </c>
      <c r="F83" s="4" t="s">
        <v>48</v>
      </c>
      <c r="G83" s="4" t="s">
        <v>60</v>
      </c>
      <c r="H83" s="4" t="s">
        <v>61</v>
      </c>
      <c r="I83" s="4" t="s">
        <v>153</v>
      </c>
    </row>
    <row r="84" spans="1:9" ht="28.5" x14ac:dyDescent="0.45">
      <c r="A84" s="4">
        <v>30601108</v>
      </c>
      <c r="B84" s="4" t="s">
        <v>285</v>
      </c>
      <c r="C84" s="4" t="s">
        <v>286</v>
      </c>
      <c r="D84" s="4">
        <v>9566036726</v>
      </c>
      <c r="E84" s="5">
        <v>45677</v>
      </c>
      <c r="F84" s="4" t="s">
        <v>48</v>
      </c>
      <c r="G84" s="4" t="s">
        <v>49</v>
      </c>
      <c r="H84" s="4" t="s">
        <v>287</v>
      </c>
      <c r="I84" s="4" t="s">
        <v>51</v>
      </c>
    </row>
    <row r="85" spans="1:9" ht="42.75" x14ac:dyDescent="0.45">
      <c r="A85" s="4">
        <v>30702063</v>
      </c>
      <c r="B85" s="4" t="s">
        <v>288</v>
      </c>
      <c r="C85" s="4" t="s">
        <v>289</v>
      </c>
      <c r="D85" s="4">
        <v>6359253052</v>
      </c>
      <c r="E85" s="5">
        <v>44204</v>
      </c>
      <c r="F85" s="4" t="s">
        <v>48</v>
      </c>
      <c r="G85" s="4" t="s">
        <v>60</v>
      </c>
      <c r="H85" s="4" t="s">
        <v>111</v>
      </c>
      <c r="I85" s="4" t="s">
        <v>112</v>
      </c>
    </row>
    <row r="86" spans="1:9" ht="28.5" x14ac:dyDescent="0.45">
      <c r="A86" s="4">
        <v>30702161</v>
      </c>
      <c r="B86" s="4" t="s">
        <v>290</v>
      </c>
      <c r="C86" s="4" t="s">
        <v>291</v>
      </c>
      <c r="D86" s="4">
        <v>7666378652</v>
      </c>
      <c r="E86" s="5">
        <v>44242</v>
      </c>
      <c r="F86" s="4" t="s">
        <v>68</v>
      </c>
      <c r="G86" s="4" t="s">
        <v>292</v>
      </c>
      <c r="H86" s="4" t="s">
        <v>293</v>
      </c>
      <c r="I86" s="4" t="s">
        <v>36</v>
      </c>
    </row>
    <row r="87" spans="1:9" ht="42.75" x14ac:dyDescent="0.45">
      <c r="A87" s="4">
        <v>30709157</v>
      </c>
      <c r="B87" s="4" t="s">
        <v>294</v>
      </c>
      <c r="C87" s="4" t="s">
        <v>295</v>
      </c>
      <c r="D87" s="4">
        <v>9372653069</v>
      </c>
      <c r="E87" s="5">
        <v>45523</v>
      </c>
      <c r="F87" s="4" t="s">
        <v>48</v>
      </c>
      <c r="G87" s="4" t="s">
        <v>60</v>
      </c>
      <c r="H87" s="4" t="s">
        <v>111</v>
      </c>
      <c r="I87" s="4" t="s">
        <v>62</v>
      </c>
    </row>
    <row r="88" spans="1:9" ht="42.75" x14ac:dyDescent="0.45">
      <c r="A88" s="4">
        <v>30928750</v>
      </c>
      <c r="B88" s="4" t="s">
        <v>296</v>
      </c>
      <c r="C88" s="4" t="s">
        <v>297</v>
      </c>
      <c r="D88" s="4">
        <v>7999508635</v>
      </c>
      <c r="E88" s="5">
        <v>44805</v>
      </c>
      <c r="F88" s="4" t="s">
        <v>48</v>
      </c>
      <c r="G88" s="4" t="s">
        <v>60</v>
      </c>
      <c r="H88" s="4" t="s">
        <v>111</v>
      </c>
      <c r="I88" s="4" t="s">
        <v>112</v>
      </c>
    </row>
    <row r="89" spans="1:9" ht="42.75" x14ac:dyDescent="0.45">
      <c r="A89" s="4">
        <v>40408332</v>
      </c>
      <c r="B89" s="4" t="s">
        <v>298</v>
      </c>
      <c r="C89" s="4" t="s">
        <v>299</v>
      </c>
      <c r="D89" s="4">
        <v>9574059246</v>
      </c>
      <c r="E89" s="5">
        <v>45621</v>
      </c>
      <c r="F89" s="4" t="s">
        <v>48</v>
      </c>
      <c r="G89" s="4" t="s">
        <v>60</v>
      </c>
      <c r="H89" s="4" t="s">
        <v>111</v>
      </c>
      <c r="I89" s="4" t="s">
        <v>112</v>
      </c>
    </row>
    <row r="90" spans="1:9" ht="57" x14ac:dyDescent="0.45">
      <c r="A90" s="4">
        <v>40413111</v>
      </c>
      <c r="B90" s="4" t="s">
        <v>300</v>
      </c>
      <c r="C90" s="4" t="s">
        <v>301</v>
      </c>
      <c r="D90" s="4">
        <v>9868563940</v>
      </c>
      <c r="E90" s="5">
        <v>45170</v>
      </c>
      <c r="F90" s="4" t="s">
        <v>33</v>
      </c>
      <c r="G90" s="4" t="s">
        <v>118</v>
      </c>
      <c r="H90" s="4" t="s">
        <v>302</v>
      </c>
      <c r="I90" s="4" t="s">
        <v>35</v>
      </c>
    </row>
    <row r="91" spans="1:9" ht="28.5" x14ac:dyDescent="0.45">
      <c r="A91" s="4">
        <v>40414751</v>
      </c>
      <c r="B91" s="4" t="s">
        <v>303</v>
      </c>
      <c r="C91" s="4" t="s">
        <v>304</v>
      </c>
      <c r="D91" s="4">
        <v>9940404723</v>
      </c>
      <c r="E91" s="5">
        <v>45411</v>
      </c>
      <c r="F91" s="4" t="s">
        <v>128</v>
      </c>
      <c r="G91" s="4" t="s">
        <v>129</v>
      </c>
      <c r="H91" s="4" t="s">
        <v>79</v>
      </c>
      <c r="I91" s="4" t="s">
        <v>210</v>
      </c>
    </row>
    <row r="92" spans="1:9" ht="42.75" x14ac:dyDescent="0.45">
      <c r="A92" s="4">
        <v>40419332</v>
      </c>
      <c r="B92" s="4" t="s">
        <v>305</v>
      </c>
      <c r="C92" s="4" t="s">
        <v>306</v>
      </c>
      <c r="D92" s="4">
        <v>8652506627</v>
      </c>
      <c r="E92" s="5">
        <v>44736</v>
      </c>
      <c r="F92" s="4" t="s">
        <v>48</v>
      </c>
      <c r="G92" s="4" t="s">
        <v>60</v>
      </c>
      <c r="H92" s="4" t="s">
        <v>61</v>
      </c>
      <c r="I92" s="4" t="s">
        <v>153</v>
      </c>
    </row>
    <row r="93" spans="1:9" ht="28.5" x14ac:dyDescent="0.45">
      <c r="A93" s="4">
        <v>40440327</v>
      </c>
      <c r="B93" s="4" t="s">
        <v>307</v>
      </c>
      <c r="C93" s="4" t="s">
        <v>308</v>
      </c>
      <c r="D93" s="4">
        <v>8460117677</v>
      </c>
      <c r="E93" s="5">
        <v>45246</v>
      </c>
      <c r="F93" s="4" t="s">
        <v>82</v>
      </c>
      <c r="G93" s="4" t="s">
        <v>83</v>
      </c>
      <c r="H93" s="4" t="s">
        <v>309</v>
      </c>
      <c r="I93" s="4" t="s">
        <v>85</v>
      </c>
    </row>
    <row r="94" spans="1:9" ht="42.75" x14ac:dyDescent="0.45">
      <c r="A94" s="4">
        <v>40442461</v>
      </c>
      <c r="B94" s="4" t="s">
        <v>310</v>
      </c>
      <c r="C94" s="4" t="s">
        <v>311</v>
      </c>
      <c r="D94" s="4">
        <v>9833177120</v>
      </c>
      <c r="E94" s="5">
        <v>43644</v>
      </c>
      <c r="F94" s="4" t="s">
        <v>48</v>
      </c>
      <c r="G94" s="4" t="s">
        <v>60</v>
      </c>
      <c r="H94" s="4" t="s">
        <v>61</v>
      </c>
      <c r="I94" s="4" t="s">
        <v>62</v>
      </c>
    </row>
    <row r="95" spans="1:9" ht="28.5" x14ac:dyDescent="0.45">
      <c r="A95" s="4">
        <v>40455589</v>
      </c>
      <c r="B95" s="4" t="s">
        <v>312</v>
      </c>
      <c r="C95" s="4" t="s">
        <v>313</v>
      </c>
      <c r="D95" s="4">
        <v>9167705337</v>
      </c>
      <c r="E95" s="5">
        <v>45293</v>
      </c>
      <c r="F95" s="4" t="s">
        <v>82</v>
      </c>
      <c r="G95" s="4" t="s">
        <v>314</v>
      </c>
      <c r="H95" s="4" t="s">
        <v>315</v>
      </c>
      <c r="I95" s="4" t="s">
        <v>85</v>
      </c>
    </row>
    <row r="96" spans="1:9" ht="42.75" x14ac:dyDescent="0.45">
      <c r="A96" s="4">
        <v>40467094</v>
      </c>
      <c r="B96" s="4" t="s">
        <v>316</v>
      </c>
      <c r="C96" s="4" t="s">
        <v>317</v>
      </c>
      <c r="D96" s="4">
        <v>8149873682</v>
      </c>
      <c r="E96" s="5">
        <v>45327</v>
      </c>
      <c r="F96" s="4" t="s">
        <v>48</v>
      </c>
      <c r="G96" s="4" t="s">
        <v>60</v>
      </c>
      <c r="H96" s="4" t="s">
        <v>61</v>
      </c>
      <c r="I96" s="4" t="s">
        <v>112</v>
      </c>
    </row>
    <row r="97" spans="1:9" ht="42.75" x14ac:dyDescent="0.45">
      <c r="A97" s="4">
        <v>40475758</v>
      </c>
      <c r="B97" s="4" t="s">
        <v>318</v>
      </c>
      <c r="C97" s="4" t="s">
        <v>319</v>
      </c>
      <c r="D97" s="4">
        <v>7709910398</v>
      </c>
      <c r="E97" s="5">
        <v>43868</v>
      </c>
      <c r="F97" s="4" t="s">
        <v>48</v>
      </c>
      <c r="G97" s="4" t="s">
        <v>60</v>
      </c>
      <c r="H97" s="4" t="s">
        <v>111</v>
      </c>
      <c r="I97" s="4" t="s">
        <v>62</v>
      </c>
    </row>
    <row r="98" spans="1:9" ht="42.75" x14ac:dyDescent="0.45">
      <c r="A98" s="4">
        <v>40484371</v>
      </c>
      <c r="B98" s="4" t="s">
        <v>320</v>
      </c>
      <c r="C98" s="4" t="s">
        <v>321</v>
      </c>
      <c r="D98" s="4">
        <v>9510685735</v>
      </c>
      <c r="E98" s="5">
        <v>45348</v>
      </c>
      <c r="F98" s="4" t="s">
        <v>48</v>
      </c>
      <c r="G98" s="4" t="s">
        <v>60</v>
      </c>
      <c r="H98" s="4" t="s">
        <v>130</v>
      </c>
      <c r="I98" s="4" t="s">
        <v>112</v>
      </c>
    </row>
    <row r="99" spans="1:9" ht="28.5" x14ac:dyDescent="0.45">
      <c r="A99" s="4">
        <v>40490010</v>
      </c>
      <c r="B99" s="4" t="s">
        <v>322</v>
      </c>
      <c r="C99" s="4" t="s">
        <v>323</v>
      </c>
      <c r="D99" s="4">
        <v>7575039652</v>
      </c>
      <c r="E99" s="5">
        <v>45411</v>
      </c>
      <c r="F99" s="4" t="s">
        <v>82</v>
      </c>
      <c r="G99" s="4" t="s">
        <v>82</v>
      </c>
      <c r="H99" s="4" t="s">
        <v>79</v>
      </c>
      <c r="I99" s="4" t="s">
        <v>210</v>
      </c>
    </row>
    <row r="100" spans="1:9" ht="28.5" x14ac:dyDescent="0.45">
      <c r="A100" s="4">
        <v>40491941</v>
      </c>
      <c r="B100" s="4" t="s">
        <v>324</v>
      </c>
      <c r="C100" s="4" t="s">
        <v>325</v>
      </c>
      <c r="D100" s="4">
        <v>8982522006</v>
      </c>
      <c r="E100" s="5">
        <v>45544</v>
      </c>
      <c r="F100" s="4" t="s">
        <v>94</v>
      </c>
      <c r="G100" s="4" t="s">
        <v>149</v>
      </c>
      <c r="H100" s="4" t="s">
        <v>326</v>
      </c>
      <c r="I100" s="4" t="s">
        <v>97</v>
      </c>
    </row>
    <row r="101" spans="1:9" ht="28.5" x14ac:dyDescent="0.45">
      <c r="A101" s="4">
        <v>50402192</v>
      </c>
      <c r="B101" s="4" t="s">
        <v>327</v>
      </c>
      <c r="C101" s="4" t="s">
        <v>328</v>
      </c>
      <c r="D101" s="4">
        <v>8668206751</v>
      </c>
      <c r="E101" s="5">
        <v>44466</v>
      </c>
      <c r="F101" s="4" t="s">
        <v>54</v>
      </c>
      <c r="G101" s="4" t="s">
        <v>142</v>
      </c>
      <c r="H101" s="4" t="s">
        <v>329</v>
      </c>
      <c r="I101" s="4" t="s">
        <v>57</v>
      </c>
    </row>
    <row r="102" spans="1:9" ht="42.75" x14ac:dyDescent="0.45">
      <c r="A102" s="4">
        <v>50407772</v>
      </c>
      <c r="B102" s="4" t="s">
        <v>330</v>
      </c>
      <c r="C102" s="4" t="s">
        <v>331</v>
      </c>
      <c r="D102" s="4">
        <v>8390678621</v>
      </c>
      <c r="E102" s="5">
        <v>44846</v>
      </c>
      <c r="F102" s="4" t="s">
        <v>48</v>
      </c>
      <c r="G102" s="4" t="s">
        <v>60</v>
      </c>
      <c r="H102" s="4" t="s">
        <v>111</v>
      </c>
      <c r="I102" s="4" t="s">
        <v>62</v>
      </c>
    </row>
    <row r="103" spans="1:9" ht="57" x14ac:dyDescent="0.45">
      <c r="A103" s="4">
        <v>50407954</v>
      </c>
      <c r="B103" s="4" t="s">
        <v>85</v>
      </c>
      <c r="C103" s="4" t="s">
        <v>332</v>
      </c>
      <c r="D103" s="4">
        <v>9823978611</v>
      </c>
      <c r="E103" s="5">
        <v>44835</v>
      </c>
      <c r="F103" s="4" t="s">
        <v>82</v>
      </c>
      <c r="G103" s="4" t="s">
        <v>82</v>
      </c>
      <c r="H103" s="4" t="s">
        <v>333</v>
      </c>
      <c r="I103" s="4" t="s">
        <v>35</v>
      </c>
    </row>
    <row r="104" spans="1:9" ht="42.75" x14ac:dyDescent="0.45">
      <c r="A104" s="4">
        <v>50408810</v>
      </c>
      <c r="B104" s="4" t="s">
        <v>334</v>
      </c>
      <c r="C104" s="4" t="s">
        <v>335</v>
      </c>
      <c r="D104" s="4">
        <v>9920812153</v>
      </c>
      <c r="E104" s="5">
        <v>45537</v>
      </c>
      <c r="F104" s="4" t="s">
        <v>33</v>
      </c>
      <c r="G104" s="4" t="s">
        <v>33</v>
      </c>
      <c r="H104" s="4" t="s">
        <v>336</v>
      </c>
      <c r="I104" s="4" t="s">
        <v>31</v>
      </c>
    </row>
    <row r="105" spans="1:9" ht="28.5" x14ac:dyDescent="0.45">
      <c r="A105" s="4">
        <v>50409075</v>
      </c>
      <c r="B105" s="4" t="s">
        <v>337</v>
      </c>
      <c r="C105" s="4" t="s">
        <v>338</v>
      </c>
      <c r="D105" s="4">
        <v>9173227089</v>
      </c>
      <c r="E105" s="5">
        <v>44148</v>
      </c>
      <c r="F105" s="4" t="s">
        <v>82</v>
      </c>
      <c r="G105" s="4" t="s">
        <v>219</v>
      </c>
      <c r="H105" s="4" t="s">
        <v>339</v>
      </c>
      <c r="I105" s="4" t="s">
        <v>85</v>
      </c>
    </row>
    <row r="106" spans="1:9" ht="42.75" x14ac:dyDescent="0.45">
      <c r="A106" s="4">
        <v>50409138</v>
      </c>
      <c r="B106" s="4" t="s">
        <v>340</v>
      </c>
      <c r="C106" s="4" t="s">
        <v>341</v>
      </c>
      <c r="D106" s="4">
        <v>7506009465</v>
      </c>
      <c r="E106" s="5">
        <v>45202</v>
      </c>
      <c r="F106" s="4" t="s">
        <v>27</v>
      </c>
      <c r="G106" s="4" t="s">
        <v>28</v>
      </c>
      <c r="H106" s="4" t="s">
        <v>342</v>
      </c>
      <c r="I106" s="4" t="s">
        <v>35</v>
      </c>
    </row>
    <row r="107" spans="1:9" ht="28.5" x14ac:dyDescent="0.45">
      <c r="A107" s="4">
        <v>50414251</v>
      </c>
      <c r="B107" s="4" t="s">
        <v>104</v>
      </c>
      <c r="C107" s="4" t="s">
        <v>343</v>
      </c>
      <c r="D107" s="4">
        <v>9819864856</v>
      </c>
      <c r="E107" s="5">
        <v>45413</v>
      </c>
      <c r="F107" s="4" t="s">
        <v>82</v>
      </c>
      <c r="G107" s="4" t="s">
        <v>83</v>
      </c>
      <c r="H107" s="4" t="s">
        <v>344</v>
      </c>
      <c r="I107" s="4" t="s">
        <v>85</v>
      </c>
    </row>
    <row r="108" spans="1:9" ht="42.75" x14ac:dyDescent="0.45">
      <c r="A108" s="4">
        <v>50427006</v>
      </c>
      <c r="B108" s="4" t="s">
        <v>345</v>
      </c>
      <c r="C108" s="4" t="s">
        <v>346</v>
      </c>
      <c r="D108" s="4">
        <v>8118801023</v>
      </c>
      <c r="E108" s="5">
        <v>44409</v>
      </c>
      <c r="F108" s="4" t="s">
        <v>48</v>
      </c>
      <c r="G108" s="4" t="s">
        <v>60</v>
      </c>
      <c r="H108" s="4" t="s">
        <v>111</v>
      </c>
      <c r="I108" s="4" t="s">
        <v>62</v>
      </c>
    </row>
    <row r="109" spans="1:9" ht="42.75" x14ac:dyDescent="0.45">
      <c r="A109" s="4">
        <v>50427034</v>
      </c>
      <c r="B109" s="4" t="s">
        <v>347</v>
      </c>
      <c r="C109" s="4" t="s">
        <v>348</v>
      </c>
      <c r="D109" s="4">
        <v>8003963153</v>
      </c>
      <c r="E109" s="5">
        <v>44235</v>
      </c>
      <c r="F109" s="4" t="s">
        <v>48</v>
      </c>
      <c r="G109" s="4" t="s">
        <v>60</v>
      </c>
      <c r="H109" s="4" t="s">
        <v>61</v>
      </c>
      <c r="I109" s="4" t="s">
        <v>112</v>
      </c>
    </row>
    <row r="110" spans="1:9" ht="42.75" x14ac:dyDescent="0.45">
      <c r="A110" s="4">
        <v>50431147</v>
      </c>
      <c r="B110" s="4" t="s">
        <v>349</v>
      </c>
      <c r="C110" s="4" t="s">
        <v>350</v>
      </c>
      <c r="D110" s="4">
        <v>9926402663</v>
      </c>
      <c r="E110" s="5">
        <v>45551</v>
      </c>
      <c r="F110" s="4" t="s">
        <v>48</v>
      </c>
      <c r="G110" s="4" t="s">
        <v>60</v>
      </c>
      <c r="H110" s="4" t="s">
        <v>111</v>
      </c>
      <c r="I110" s="4" t="s">
        <v>62</v>
      </c>
    </row>
    <row r="111" spans="1:9" ht="28.5" x14ac:dyDescent="0.45">
      <c r="A111" s="4">
        <v>50431179</v>
      </c>
      <c r="B111" s="4" t="s">
        <v>351</v>
      </c>
      <c r="C111" s="4" t="s">
        <v>352</v>
      </c>
      <c r="D111" s="4">
        <v>9754932172</v>
      </c>
      <c r="E111" s="5">
        <v>41648</v>
      </c>
      <c r="F111" s="4" t="s">
        <v>82</v>
      </c>
      <c r="G111" s="4" t="s">
        <v>219</v>
      </c>
      <c r="H111" s="4" t="s">
        <v>353</v>
      </c>
      <c r="I111" s="4" t="s">
        <v>85</v>
      </c>
    </row>
    <row r="112" spans="1:9" ht="42.75" x14ac:dyDescent="0.45">
      <c r="A112" s="4">
        <v>50438141</v>
      </c>
      <c r="B112" s="4" t="s">
        <v>354</v>
      </c>
      <c r="C112" s="4" t="s">
        <v>355</v>
      </c>
      <c r="D112" s="4">
        <v>9828712109</v>
      </c>
      <c r="E112" s="5">
        <v>45155</v>
      </c>
      <c r="F112" s="4" t="s">
        <v>48</v>
      </c>
      <c r="G112" s="4" t="s">
        <v>60</v>
      </c>
      <c r="H112" s="4" t="s">
        <v>61</v>
      </c>
      <c r="I112" s="4" t="s">
        <v>62</v>
      </c>
    </row>
    <row r="113" spans="1:9" ht="42.75" x14ac:dyDescent="0.45">
      <c r="A113" s="4">
        <v>50448083</v>
      </c>
      <c r="B113" s="4" t="s">
        <v>356</v>
      </c>
      <c r="C113" s="4" t="s">
        <v>357</v>
      </c>
      <c r="D113" s="4">
        <v>9967724642</v>
      </c>
      <c r="E113" s="5">
        <v>45327</v>
      </c>
      <c r="F113" s="4" t="s">
        <v>48</v>
      </c>
      <c r="G113" s="4" t="s">
        <v>60</v>
      </c>
      <c r="H113" s="4" t="s">
        <v>61</v>
      </c>
      <c r="I113" s="4" t="s">
        <v>112</v>
      </c>
    </row>
    <row r="114" spans="1:9" ht="28.5" x14ac:dyDescent="0.45">
      <c r="A114" s="4">
        <v>50448282</v>
      </c>
      <c r="B114" s="4" t="s">
        <v>358</v>
      </c>
      <c r="C114" s="4" t="s">
        <v>359</v>
      </c>
      <c r="D114" s="4">
        <v>9664991976</v>
      </c>
      <c r="E114" s="5">
        <v>45369</v>
      </c>
      <c r="F114" s="4" t="s">
        <v>48</v>
      </c>
      <c r="G114" s="4" t="s">
        <v>49</v>
      </c>
      <c r="H114" s="4" t="s">
        <v>287</v>
      </c>
      <c r="I114" s="4" t="s">
        <v>51</v>
      </c>
    </row>
    <row r="115" spans="1:9" ht="42.75" x14ac:dyDescent="0.45">
      <c r="A115" s="4">
        <v>50450541</v>
      </c>
      <c r="B115" s="4" t="s">
        <v>360</v>
      </c>
      <c r="C115" s="4" t="s">
        <v>361</v>
      </c>
      <c r="D115" s="4">
        <v>7898992072</v>
      </c>
      <c r="E115" s="5">
        <v>45551</v>
      </c>
      <c r="F115" s="4" t="s">
        <v>48</v>
      </c>
      <c r="G115" s="4" t="s">
        <v>60</v>
      </c>
      <c r="H115" s="4" t="s">
        <v>111</v>
      </c>
      <c r="I115" s="4" t="s">
        <v>62</v>
      </c>
    </row>
    <row r="116" spans="1:9" ht="42.75" x14ac:dyDescent="0.45">
      <c r="A116" s="4">
        <v>50451176</v>
      </c>
      <c r="B116" s="4" t="s">
        <v>362</v>
      </c>
      <c r="C116" s="4" t="s">
        <v>363</v>
      </c>
      <c r="D116" s="4">
        <v>9702755756</v>
      </c>
      <c r="E116" s="5">
        <v>45200</v>
      </c>
      <c r="F116" s="4" t="s">
        <v>48</v>
      </c>
      <c r="G116" s="4" t="s">
        <v>49</v>
      </c>
      <c r="H116" s="4" t="s">
        <v>364</v>
      </c>
      <c r="I116" s="4" t="s">
        <v>35</v>
      </c>
    </row>
    <row r="117" spans="1:9" ht="28.5" x14ac:dyDescent="0.45">
      <c r="A117" s="4">
        <v>50453593</v>
      </c>
      <c r="B117" s="4" t="s">
        <v>365</v>
      </c>
      <c r="C117" s="4" t="s">
        <v>366</v>
      </c>
      <c r="D117" s="4">
        <v>9372683781</v>
      </c>
      <c r="E117" s="5">
        <v>45600</v>
      </c>
      <c r="F117" s="4" t="s">
        <v>73</v>
      </c>
      <c r="G117" s="4" t="s">
        <v>73</v>
      </c>
      <c r="H117" s="4" t="s">
        <v>367</v>
      </c>
      <c r="I117" s="4" t="s">
        <v>98</v>
      </c>
    </row>
    <row r="118" spans="1:9" ht="28.5" x14ac:dyDescent="0.45">
      <c r="A118" s="4">
        <v>50453950</v>
      </c>
      <c r="B118" s="4" t="s">
        <v>368</v>
      </c>
      <c r="C118" s="4" t="s">
        <v>369</v>
      </c>
      <c r="D118" s="4">
        <v>9757316800</v>
      </c>
      <c r="E118" s="5">
        <v>43837</v>
      </c>
      <c r="F118" s="4" t="s">
        <v>68</v>
      </c>
      <c r="G118" s="4" t="s">
        <v>69</v>
      </c>
      <c r="H118" s="4" t="s">
        <v>130</v>
      </c>
      <c r="I118" s="4" t="s">
        <v>51</v>
      </c>
    </row>
    <row r="119" spans="1:9" ht="42.75" x14ac:dyDescent="0.45">
      <c r="A119" s="4">
        <v>50457295</v>
      </c>
      <c r="B119" s="4" t="s">
        <v>370</v>
      </c>
      <c r="C119" s="4" t="s">
        <v>371</v>
      </c>
      <c r="D119" s="4">
        <v>9967524352</v>
      </c>
      <c r="E119" s="5">
        <v>44826</v>
      </c>
      <c r="F119" s="4" t="s">
        <v>94</v>
      </c>
      <c r="G119" s="4" t="s">
        <v>372</v>
      </c>
      <c r="H119" s="4" t="s">
        <v>373</v>
      </c>
      <c r="I119" s="4" t="s">
        <v>97</v>
      </c>
    </row>
    <row r="120" spans="1:9" ht="28.5" x14ac:dyDescent="0.45">
      <c r="A120" s="4">
        <v>50458042</v>
      </c>
      <c r="B120" s="4" t="s">
        <v>374</v>
      </c>
      <c r="C120" s="4" t="s">
        <v>375</v>
      </c>
      <c r="D120" s="4">
        <v>8238833194</v>
      </c>
      <c r="E120" s="5">
        <v>43868</v>
      </c>
      <c r="F120" s="4" t="s">
        <v>33</v>
      </c>
      <c r="G120" s="4" t="s">
        <v>118</v>
      </c>
      <c r="H120" s="4" t="s">
        <v>79</v>
      </c>
      <c r="I120" s="4" t="s">
        <v>31</v>
      </c>
    </row>
    <row r="121" spans="1:9" ht="42.75" x14ac:dyDescent="0.45">
      <c r="A121" s="4">
        <v>50458908</v>
      </c>
      <c r="B121" s="4" t="s">
        <v>76</v>
      </c>
      <c r="C121" s="4" t="s">
        <v>376</v>
      </c>
      <c r="D121" s="4">
        <v>9030530530</v>
      </c>
      <c r="E121" s="5">
        <v>45566</v>
      </c>
      <c r="F121" s="4" t="s">
        <v>94</v>
      </c>
      <c r="G121" s="4" t="s">
        <v>94</v>
      </c>
      <c r="H121" s="4" t="s">
        <v>377</v>
      </c>
      <c r="I121" s="4" t="s">
        <v>35</v>
      </c>
    </row>
    <row r="122" spans="1:9" ht="42.75" x14ac:dyDescent="0.45">
      <c r="A122" s="4">
        <v>50474218</v>
      </c>
      <c r="B122" s="4" t="s">
        <v>65</v>
      </c>
      <c r="C122" s="4" t="s">
        <v>378</v>
      </c>
      <c r="D122" s="4">
        <v>9819676354</v>
      </c>
      <c r="E122" s="5">
        <v>44805</v>
      </c>
      <c r="F122" s="4" t="s">
        <v>48</v>
      </c>
      <c r="G122" s="4" t="s">
        <v>379</v>
      </c>
      <c r="H122" s="4" t="s">
        <v>380</v>
      </c>
      <c r="I122" s="4" t="s">
        <v>51</v>
      </c>
    </row>
    <row r="123" spans="1:9" ht="42.75" x14ac:dyDescent="0.45">
      <c r="A123" s="4">
        <v>50479564</v>
      </c>
      <c r="B123" s="4" t="s">
        <v>131</v>
      </c>
      <c r="C123" s="4" t="s">
        <v>381</v>
      </c>
      <c r="D123" s="4">
        <v>9727741291</v>
      </c>
      <c r="E123" s="5">
        <v>44635</v>
      </c>
      <c r="F123" s="4" t="s">
        <v>128</v>
      </c>
      <c r="G123" s="4" t="s">
        <v>129</v>
      </c>
      <c r="H123" s="4" t="s">
        <v>382</v>
      </c>
      <c r="I123" s="4" t="s">
        <v>35</v>
      </c>
    </row>
    <row r="124" spans="1:9" ht="42.75" x14ac:dyDescent="0.45">
      <c r="A124" s="4">
        <v>50487949</v>
      </c>
      <c r="B124" s="4" t="s">
        <v>383</v>
      </c>
      <c r="C124" s="4" t="s">
        <v>384</v>
      </c>
      <c r="D124" s="4">
        <v>9765260061</v>
      </c>
      <c r="E124" s="5">
        <v>44958</v>
      </c>
      <c r="F124" s="4" t="s">
        <v>161</v>
      </c>
      <c r="G124" s="4" t="s">
        <v>162</v>
      </c>
      <c r="H124" s="4" t="s">
        <v>163</v>
      </c>
      <c r="I124" s="4" t="s">
        <v>164</v>
      </c>
    </row>
    <row r="125" spans="1:9" ht="42.75" x14ac:dyDescent="0.45">
      <c r="A125" s="4">
        <v>50491504</v>
      </c>
      <c r="B125" s="4" t="s">
        <v>385</v>
      </c>
      <c r="C125" s="4" t="s">
        <v>386</v>
      </c>
      <c r="D125" s="4">
        <v>9049484737</v>
      </c>
      <c r="E125" s="5">
        <v>44463</v>
      </c>
      <c r="F125" s="4" t="s">
        <v>94</v>
      </c>
      <c r="G125" s="4" t="s">
        <v>387</v>
      </c>
      <c r="H125" s="4" t="s">
        <v>388</v>
      </c>
      <c r="I125" s="4" t="s">
        <v>35</v>
      </c>
    </row>
    <row r="126" spans="1:9" ht="42.75" x14ac:dyDescent="0.45">
      <c r="A126" s="4">
        <v>60403129</v>
      </c>
      <c r="B126" s="4" t="s">
        <v>241</v>
      </c>
      <c r="C126" s="4" t="s">
        <v>389</v>
      </c>
      <c r="D126" s="4">
        <v>9925236696</v>
      </c>
      <c r="E126" s="5">
        <v>42684</v>
      </c>
      <c r="F126" s="4" t="s">
        <v>27</v>
      </c>
      <c r="G126" s="4" t="s">
        <v>28</v>
      </c>
      <c r="H126" s="4" t="s">
        <v>79</v>
      </c>
      <c r="I126" s="4" t="s">
        <v>35</v>
      </c>
    </row>
    <row r="127" spans="1:9" ht="28.5" x14ac:dyDescent="0.45">
      <c r="A127" s="4">
        <v>60405403</v>
      </c>
      <c r="B127" s="4" t="s">
        <v>390</v>
      </c>
      <c r="C127" s="4" t="s">
        <v>391</v>
      </c>
      <c r="D127" s="4">
        <v>8128832052</v>
      </c>
      <c r="E127" s="5">
        <v>45413</v>
      </c>
      <c r="F127" s="4" t="s">
        <v>82</v>
      </c>
      <c r="G127" s="4" t="s">
        <v>82</v>
      </c>
      <c r="H127" s="4" t="s">
        <v>79</v>
      </c>
      <c r="I127" s="4" t="s">
        <v>210</v>
      </c>
    </row>
    <row r="128" spans="1:9" ht="42.75" x14ac:dyDescent="0.45">
      <c r="A128" s="4">
        <v>60410794</v>
      </c>
      <c r="B128" s="4" t="s">
        <v>392</v>
      </c>
      <c r="C128" s="4" t="s">
        <v>393</v>
      </c>
      <c r="D128" s="4">
        <v>9106715287</v>
      </c>
      <c r="E128" s="5">
        <v>45608</v>
      </c>
      <c r="F128" s="4" t="s">
        <v>48</v>
      </c>
      <c r="G128" s="4" t="s">
        <v>60</v>
      </c>
      <c r="H128" s="4" t="s">
        <v>111</v>
      </c>
      <c r="I128" s="4" t="s">
        <v>153</v>
      </c>
    </row>
    <row r="129" spans="1:9" ht="42.75" x14ac:dyDescent="0.45">
      <c r="A129" s="4">
        <v>60420291</v>
      </c>
      <c r="B129" s="4" t="s">
        <v>394</v>
      </c>
      <c r="C129" s="4" t="s">
        <v>395</v>
      </c>
      <c r="D129" s="4">
        <v>9867550572</v>
      </c>
      <c r="E129" s="5">
        <v>45517</v>
      </c>
      <c r="F129" s="4" t="s">
        <v>33</v>
      </c>
      <c r="G129" s="4" t="s">
        <v>33</v>
      </c>
      <c r="H129" s="4" t="s">
        <v>396</v>
      </c>
      <c r="I129" s="4" t="s">
        <v>31</v>
      </c>
    </row>
    <row r="130" spans="1:9" ht="42.75" x14ac:dyDescent="0.45">
      <c r="A130" s="4">
        <v>60427038</v>
      </c>
      <c r="B130" s="4" t="s">
        <v>210</v>
      </c>
      <c r="C130" s="4" t="s">
        <v>397</v>
      </c>
      <c r="D130" s="4">
        <v>8905196843</v>
      </c>
      <c r="E130" s="5">
        <v>45146</v>
      </c>
      <c r="F130" s="4" t="s">
        <v>27</v>
      </c>
      <c r="G130" s="4" t="s">
        <v>28</v>
      </c>
      <c r="H130" s="4" t="s">
        <v>79</v>
      </c>
      <c r="I130" s="4" t="s">
        <v>139</v>
      </c>
    </row>
    <row r="131" spans="1:9" ht="42.75" x14ac:dyDescent="0.45">
      <c r="A131" s="4">
        <v>60431197</v>
      </c>
      <c r="B131" s="4" t="s">
        <v>398</v>
      </c>
      <c r="C131" s="4" t="s">
        <v>399</v>
      </c>
      <c r="D131" s="4">
        <v>7389395978</v>
      </c>
      <c r="E131" s="5">
        <v>45362</v>
      </c>
      <c r="F131" s="4" t="s">
        <v>48</v>
      </c>
      <c r="G131" s="4" t="s">
        <v>60</v>
      </c>
      <c r="H131" s="4" t="s">
        <v>111</v>
      </c>
      <c r="I131" s="4" t="s">
        <v>112</v>
      </c>
    </row>
    <row r="132" spans="1:9" ht="42.75" x14ac:dyDescent="0.45">
      <c r="A132" s="4">
        <v>60442617</v>
      </c>
      <c r="B132" s="4" t="s">
        <v>400</v>
      </c>
      <c r="C132" s="4" t="s">
        <v>401</v>
      </c>
      <c r="D132" s="4">
        <v>9993644663</v>
      </c>
      <c r="E132" s="5">
        <v>44409</v>
      </c>
      <c r="F132" s="4" t="s">
        <v>48</v>
      </c>
      <c r="G132" s="4" t="s">
        <v>60</v>
      </c>
      <c r="H132" s="4" t="s">
        <v>111</v>
      </c>
      <c r="I132" s="4" t="s">
        <v>153</v>
      </c>
    </row>
    <row r="133" spans="1:9" ht="28.5" x14ac:dyDescent="0.45">
      <c r="A133" s="4">
        <v>60442791</v>
      </c>
      <c r="B133" s="4" t="s">
        <v>402</v>
      </c>
      <c r="C133" s="4" t="s">
        <v>403</v>
      </c>
      <c r="D133" s="4">
        <v>8319512151</v>
      </c>
      <c r="E133" s="5">
        <v>45621</v>
      </c>
      <c r="F133" s="4" t="s">
        <v>82</v>
      </c>
      <c r="G133" s="4" t="s">
        <v>83</v>
      </c>
      <c r="H133" s="4" t="s">
        <v>103</v>
      </c>
      <c r="I133" s="4" t="s">
        <v>85</v>
      </c>
    </row>
    <row r="134" spans="1:9" ht="42.75" x14ac:dyDescent="0.45">
      <c r="A134" s="4">
        <v>60448871</v>
      </c>
      <c r="B134" s="4" t="s">
        <v>404</v>
      </c>
      <c r="C134" s="4" t="s">
        <v>405</v>
      </c>
      <c r="D134" s="4">
        <v>9979420872</v>
      </c>
      <c r="E134" s="5">
        <v>43983</v>
      </c>
      <c r="F134" s="4" t="s">
        <v>48</v>
      </c>
      <c r="G134" s="4" t="s">
        <v>60</v>
      </c>
      <c r="H134" s="4" t="s">
        <v>111</v>
      </c>
      <c r="I134" s="4" t="s">
        <v>112</v>
      </c>
    </row>
    <row r="135" spans="1:9" ht="57" x14ac:dyDescent="0.45">
      <c r="A135" s="4">
        <v>60451277</v>
      </c>
      <c r="B135" s="4" t="s">
        <v>231</v>
      </c>
      <c r="C135" s="4" t="s">
        <v>406</v>
      </c>
      <c r="D135" s="4">
        <v>9841610456</v>
      </c>
      <c r="E135" s="5">
        <v>45014</v>
      </c>
      <c r="F135" s="4" t="s">
        <v>33</v>
      </c>
      <c r="G135" s="4" t="s">
        <v>230</v>
      </c>
      <c r="H135" s="4" t="s">
        <v>407</v>
      </c>
      <c r="I135" s="4" t="s">
        <v>31</v>
      </c>
    </row>
    <row r="136" spans="1:9" ht="42.75" x14ac:dyDescent="0.45">
      <c r="A136" s="4">
        <v>60452364</v>
      </c>
      <c r="B136" s="4" t="s">
        <v>408</v>
      </c>
      <c r="C136" s="4" t="s">
        <v>409</v>
      </c>
      <c r="D136" s="4">
        <v>8485963413</v>
      </c>
      <c r="E136" s="5">
        <v>44928</v>
      </c>
      <c r="F136" s="4" t="s">
        <v>48</v>
      </c>
      <c r="G136" s="4" t="s">
        <v>60</v>
      </c>
      <c r="H136" s="4" t="s">
        <v>111</v>
      </c>
      <c r="I136" s="4" t="s">
        <v>153</v>
      </c>
    </row>
    <row r="137" spans="1:9" ht="28.5" x14ac:dyDescent="0.45">
      <c r="A137" s="4">
        <v>60453004</v>
      </c>
      <c r="B137" s="4" t="s">
        <v>410</v>
      </c>
      <c r="C137" s="4" t="s">
        <v>411</v>
      </c>
      <c r="D137" s="4">
        <v>9773448076</v>
      </c>
      <c r="E137" s="5">
        <v>44900</v>
      </c>
      <c r="F137" s="4" t="s">
        <v>48</v>
      </c>
      <c r="G137" s="4" t="s">
        <v>49</v>
      </c>
      <c r="H137" s="4" t="s">
        <v>287</v>
      </c>
      <c r="I137" s="4" t="s">
        <v>51</v>
      </c>
    </row>
    <row r="138" spans="1:9" ht="42.75" x14ac:dyDescent="0.45">
      <c r="A138" s="4">
        <v>60453726</v>
      </c>
      <c r="B138" s="4" t="s">
        <v>412</v>
      </c>
      <c r="C138" s="4" t="s">
        <v>413</v>
      </c>
      <c r="D138" s="4">
        <v>7506638679</v>
      </c>
      <c r="E138" s="5">
        <v>44166</v>
      </c>
      <c r="F138" s="4" t="s">
        <v>73</v>
      </c>
      <c r="G138" s="4" t="s">
        <v>414</v>
      </c>
      <c r="H138" s="4" t="s">
        <v>415</v>
      </c>
      <c r="I138" s="4" t="s">
        <v>98</v>
      </c>
    </row>
    <row r="139" spans="1:9" ht="42.75" x14ac:dyDescent="0.45">
      <c r="A139" s="4">
        <v>60457319</v>
      </c>
      <c r="B139" s="4" t="s">
        <v>416</v>
      </c>
      <c r="C139" s="4" t="s">
        <v>417</v>
      </c>
      <c r="D139" s="4">
        <v>9702973900</v>
      </c>
      <c r="E139" s="5">
        <v>43647</v>
      </c>
      <c r="F139" s="4" t="s">
        <v>48</v>
      </c>
      <c r="G139" s="4" t="s">
        <v>60</v>
      </c>
      <c r="H139" s="4" t="s">
        <v>61</v>
      </c>
      <c r="I139" s="4" t="s">
        <v>62</v>
      </c>
    </row>
    <row r="140" spans="1:9" ht="28.5" x14ac:dyDescent="0.45">
      <c r="A140" s="4">
        <v>60460664</v>
      </c>
      <c r="B140" s="4" t="s">
        <v>418</v>
      </c>
      <c r="C140" s="4" t="s">
        <v>419</v>
      </c>
      <c r="D140" s="4">
        <v>9029415189</v>
      </c>
      <c r="E140" s="5">
        <v>44179</v>
      </c>
      <c r="F140" s="4" t="s">
        <v>82</v>
      </c>
      <c r="G140" s="4" t="s">
        <v>219</v>
      </c>
      <c r="H140" s="4" t="s">
        <v>420</v>
      </c>
      <c r="I140" s="4" t="s">
        <v>85</v>
      </c>
    </row>
    <row r="141" spans="1:9" ht="28.5" x14ac:dyDescent="0.45">
      <c r="A141" s="4">
        <v>60473708</v>
      </c>
      <c r="B141" s="4" t="s">
        <v>421</v>
      </c>
      <c r="C141" s="4" t="s">
        <v>422</v>
      </c>
      <c r="D141" s="4">
        <v>9004201245</v>
      </c>
      <c r="E141" s="5">
        <v>43897</v>
      </c>
      <c r="F141" s="4" t="s">
        <v>180</v>
      </c>
      <c r="G141" s="4" t="s">
        <v>180</v>
      </c>
      <c r="H141" s="4" t="s">
        <v>169</v>
      </c>
      <c r="I141" s="4" t="s">
        <v>181</v>
      </c>
    </row>
    <row r="142" spans="1:9" ht="42.75" x14ac:dyDescent="0.45">
      <c r="A142" s="4">
        <v>78652052</v>
      </c>
      <c r="B142" s="4" t="s">
        <v>30</v>
      </c>
      <c r="C142" s="4" t="s">
        <v>423</v>
      </c>
      <c r="D142" s="4">
        <v>9773348552</v>
      </c>
      <c r="E142" s="5">
        <v>41641</v>
      </c>
      <c r="F142" s="4" t="s">
        <v>27</v>
      </c>
      <c r="G142" s="4" t="s">
        <v>27</v>
      </c>
      <c r="H142" s="4" t="s">
        <v>424</v>
      </c>
      <c r="I142" s="4" t="s">
        <v>425</v>
      </c>
    </row>
    <row r="143" spans="1:9" ht="42.75" x14ac:dyDescent="0.45">
      <c r="A143" s="4">
        <v>78652224</v>
      </c>
      <c r="B143" s="4" t="s">
        <v>35</v>
      </c>
      <c r="C143" s="4" t="s">
        <v>426</v>
      </c>
      <c r="D143" s="4">
        <v>8104245239</v>
      </c>
      <c r="E143" s="5">
        <v>41641</v>
      </c>
      <c r="F143" s="4" t="s">
        <v>27</v>
      </c>
      <c r="G143" s="4" t="s">
        <v>27</v>
      </c>
      <c r="H143" s="4" t="s">
        <v>424</v>
      </c>
      <c r="I143" s="4" t="s">
        <v>30</v>
      </c>
    </row>
    <row r="144" spans="1:9" ht="42.75" x14ac:dyDescent="0.45">
      <c r="A144" s="4">
        <v>78652349</v>
      </c>
      <c r="B144" s="4" t="s">
        <v>427</v>
      </c>
      <c r="C144" s="4" t="s">
        <v>428</v>
      </c>
      <c r="D144" s="4">
        <v>9999999999</v>
      </c>
      <c r="E144" s="5">
        <v>41641</v>
      </c>
      <c r="F144" s="4" t="s">
        <v>27</v>
      </c>
      <c r="G144" s="4" t="s">
        <v>27</v>
      </c>
      <c r="H144" s="4" t="s">
        <v>424</v>
      </c>
      <c r="I144" s="4" t="s">
        <v>30</v>
      </c>
    </row>
    <row r="145" spans="1:9" ht="42.75" x14ac:dyDescent="0.45">
      <c r="A145" s="4">
        <v>78652405</v>
      </c>
      <c r="B145" s="4" t="s">
        <v>139</v>
      </c>
      <c r="C145" s="4" t="s">
        <v>429</v>
      </c>
      <c r="D145" s="4">
        <v>9376935252</v>
      </c>
      <c r="E145" s="5">
        <v>41641</v>
      </c>
      <c r="F145" s="4" t="s">
        <v>27</v>
      </c>
      <c r="G145" s="4" t="s">
        <v>27</v>
      </c>
      <c r="H145" s="4" t="s">
        <v>424</v>
      </c>
      <c r="I145" s="4" t="s">
        <v>30</v>
      </c>
    </row>
    <row r="146" spans="1:9" ht="42.75" x14ac:dyDescent="0.45">
      <c r="A146" s="4">
        <v>78652416</v>
      </c>
      <c r="B146" s="4" t="s">
        <v>430</v>
      </c>
      <c r="C146" s="4" t="s">
        <v>431</v>
      </c>
      <c r="D146" s="4">
        <v>9769862795</v>
      </c>
      <c r="E146" s="5">
        <v>41641</v>
      </c>
      <c r="F146" s="4" t="s">
        <v>27</v>
      </c>
      <c r="G146" s="4" t="s">
        <v>27</v>
      </c>
      <c r="H146" s="4" t="s">
        <v>424</v>
      </c>
      <c r="I146" s="4" t="s">
        <v>30</v>
      </c>
    </row>
  </sheetData>
  <sheetProtection algorithmName="SHA-512" hashValue="w4Si9BryWJ7KDlzRU4pzDD9zy8PMfRgI3Y73BtzDnnPJsHmSqcMlS/dGdARnHmrm8tFvUxwx1bmIqej2Ym3yhg==" saltValue="4FTX2SxNG0ryBqCmTPY8vQ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9bfdc8-d2d4-4065-a73f-f14dc47df6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6B12EF11E20E4A8496FC1B063B1B53" ma:contentTypeVersion="14" ma:contentTypeDescription="Create a new document." ma:contentTypeScope="" ma:versionID="a5ce907c4a945673a4abe2473eff8435">
  <xsd:schema xmlns:xsd="http://www.w3.org/2001/XMLSchema" xmlns:xs="http://www.w3.org/2001/XMLSchema" xmlns:p="http://schemas.microsoft.com/office/2006/metadata/properties" xmlns:ns3="9d9bfdc8-d2d4-4065-a73f-f14dc47df6e9" xmlns:ns4="f1c2ed63-d5d5-47ef-8189-f33785ec4571" targetNamespace="http://schemas.microsoft.com/office/2006/metadata/properties" ma:root="true" ma:fieldsID="752c40f2997e493afc09731dfc60e98d" ns3:_="" ns4:_="">
    <xsd:import namespace="9d9bfdc8-d2d4-4065-a73f-f14dc47df6e9"/>
    <xsd:import namespace="f1c2ed63-d5d5-47ef-8189-f33785ec457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bfdc8-d2d4-4065-a73f-f14dc47df6e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2ed63-d5d5-47ef-8189-f33785ec457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5964FA-8C5F-473A-804E-F46D9D7FDD9C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f1c2ed63-d5d5-47ef-8189-f33785ec4571"/>
    <ds:schemaRef ds:uri="http://schemas.microsoft.com/office/infopath/2007/PartnerControls"/>
    <ds:schemaRef ds:uri="9d9bfdc8-d2d4-4065-a73f-f14dc47df6e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B478EF6-7373-4535-A677-DD9A84EA2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9bfdc8-d2d4-4065-a73f-f14dc47df6e9"/>
    <ds:schemaRef ds:uri="f1c2ed63-d5d5-47ef-8189-f33785ec45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D033C1-408E-4D8C-BA48-D688A81DC3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Format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Burhanuddin Shikari</dc:creator>
  <cp:lastModifiedBy>Mohammed Nalwala</cp:lastModifiedBy>
  <cp:lastPrinted>2026-05-11T11:13:52Z</cp:lastPrinted>
  <dcterms:created xsi:type="dcterms:W3CDTF">2025-03-24T06:52:15Z</dcterms:created>
  <dcterms:modified xsi:type="dcterms:W3CDTF">2026-05-11T11:15:11Z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0x010100C56B12EF11E20E4A8496FC1B063B1B53</vt:lpwstr>
  </property>
</Properties>
</file>